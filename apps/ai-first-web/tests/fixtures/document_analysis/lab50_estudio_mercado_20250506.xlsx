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8_{12CD7B43-A16E-4CD7-8719-46E916792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B7" i="1" s="1"/>
  <c r="V24" i="1"/>
  <c r="W24" i="1" s="1"/>
  <c r="X24" i="1" s="1"/>
  <c r="V23" i="1"/>
  <c r="W23" i="1" s="1"/>
  <c r="X23" i="1" s="1"/>
  <c r="V22" i="1"/>
  <c r="W22" i="1" s="1"/>
  <c r="X22" i="1" s="1"/>
  <c r="V21" i="1"/>
  <c r="W21" i="1" s="1"/>
  <c r="X21" i="1" s="1"/>
  <c r="V20" i="1"/>
  <c r="W20" i="1" s="1"/>
  <c r="X20" i="1" s="1"/>
  <c r="V19" i="1"/>
  <c r="W19" i="1" s="1"/>
  <c r="X19" i="1" s="1"/>
  <c r="V18" i="1"/>
  <c r="W18" i="1" s="1"/>
  <c r="X18" i="1" s="1"/>
  <c r="V17" i="1"/>
  <c r="W17" i="1" s="1"/>
  <c r="X17" i="1" s="1"/>
  <c r="V16" i="1"/>
  <c r="W16" i="1" s="1"/>
  <c r="X16" i="1" s="1"/>
  <c r="V15" i="1"/>
  <c r="W15" i="1" s="1"/>
  <c r="X15" i="1" s="1"/>
  <c r="V14" i="1"/>
  <c r="W14" i="1" s="1"/>
  <c r="X14" i="1" s="1"/>
  <c r="V13" i="1"/>
  <c r="W13" i="1" s="1"/>
  <c r="X13" i="1" s="1"/>
  <c r="V12" i="1"/>
  <c r="W12" i="1" s="1"/>
  <c r="X12" i="1" s="1"/>
  <c r="V11" i="1"/>
  <c r="W11" i="1" s="1"/>
  <c r="X11" i="1" s="1"/>
  <c r="V10" i="1"/>
  <c r="W10" i="1" s="1"/>
  <c r="X10" i="1" s="1"/>
  <c r="V9" i="1"/>
  <c r="W9" i="1" s="1"/>
  <c r="X9" i="1" s="1"/>
  <c r="V8" i="1"/>
  <c r="W8" i="1" s="1"/>
  <c r="X8" i="1" s="1"/>
  <c r="V7" i="1"/>
  <c r="W7" i="1" s="1"/>
  <c r="X7" i="1" s="1"/>
  <c r="Q24" i="1"/>
  <c r="R24" i="1" s="1"/>
  <c r="S24" i="1" s="1"/>
  <c r="Q23" i="1"/>
  <c r="R23" i="1" s="1"/>
  <c r="S23" i="1" s="1"/>
  <c r="Q22" i="1"/>
  <c r="R22" i="1" s="1"/>
  <c r="S22" i="1" s="1"/>
  <c r="Q21" i="1"/>
  <c r="R21" i="1" s="1"/>
  <c r="S21" i="1" s="1"/>
  <c r="Q20" i="1"/>
  <c r="R20" i="1" s="1"/>
  <c r="S20" i="1" s="1"/>
  <c r="Q19" i="1"/>
  <c r="R19" i="1" s="1"/>
  <c r="S19" i="1" s="1"/>
  <c r="Q18" i="1"/>
  <c r="R18" i="1" s="1"/>
  <c r="S18" i="1" s="1"/>
  <c r="Q17" i="1"/>
  <c r="R17" i="1" s="1"/>
  <c r="S17" i="1" s="1"/>
  <c r="Q16" i="1"/>
  <c r="R16" i="1" s="1"/>
  <c r="S16" i="1" s="1"/>
  <c r="Q15" i="1"/>
  <c r="R15" i="1" s="1"/>
  <c r="S15" i="1" s="1"/>
  <c r="Q14" i="1"/>
  <c r="R14" i="1" s="1"/>
  <c r="S14" i="1" s="1"/>
  <c r="Q13" i="1"/>
  <c r="R13" i="1" s="1"/>
  <c r="S13" i="1" s="1"/>
  <c r="Q12" i="1"/>
  <c r="R12" i="1" s="1"/>
  <c r="S12" i="1" s="1"/>
  <c r="Q11" i="1"/>
  <c r="R11" i="1" s="1"/>
  <c r="S11" i="1" s="1"/>
  <c r="Q10" i="1"/>
  <c r="R10" i="1" s="1"/>
  <c r="S10" i="1" s="1"/>
  <c r="Q9" i="1"/>
  <c r="R9" i="1" s="1"/>
  <c r="S9" i="1" s="1"/>
  <c r="Q8" i="1"/>
  <c r="R8" i="1" s="1"/>
  <c r="S8" i="1" s="1"/>
  <c r="Q7" i="1"/>
  <c r="R7" i="1" s="1"/>
  <c r="S7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I13" i="1" s="1"/>
  <c r="G12" i="1"/>
  <c r="H12" i="1" s="1"/>
  <c r="G11" i="1"/>
  <c r="H11" i="1" s="1"/>
  <c r="G10" i="1"/>
  <c r="H10" i="1" s="1"/>
  <c r="G9" i="1"/>
  <c r="H9" i="1" s="1"/>
  <c r="G8" i="1"/>
  <c r="H8" i="1" s="1"/>
  <c r="N22" i="1" l="1"/>
  <c r="N23" i="1"/>
  <c r="N24" i="1"/>
  <c r="N7" i="1"/>
  <c r="AD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I23" i="1"/>
  <c r="I24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AC7" i="1"/>
  <c r="G7" i="1"/>
  <c r="H7" i="1" s="1"/>
  <c r="AE7" i="1" l="1"/>
  <c r="AF7" i="1"/>
  <c r="I7" i="1"/>
  <c r="AI7" i="1" l="1"/>
  <c r="AJ7" i="1" s="1"/>
  <c r="AL7" i="1" s="1"/>
  <c r="AG7" i="1"/>
  <c r="AH7" i="1"/>
  <c r="AA13" i="1"/>
  <c r="AB13" i="1" s="1"/>
  <c r="AD13" i="1" s="1"/>
  <c r="AM7" i="1" l="1"/>
  <c r="AN7" i="1" s="1"/>
  <c r="AE13" i="1"/>
  <c r="AF13" i="1"/>
  <c r="AC13" i="1"/>
  <c r="AI13" i="1" l="1"/>
  <c r="AJ13" i="1" s="1"/>
  <c r="AL13" i="1" s="1"/>
  <c r="AG13" i="1"/>
  <c r="AH13" i="1"/>
  <c r="AA17" i="1" l="1"/>
  <c r="AB17" i="1" s="1"/>
  <c r="AD17" i="1" s="1"/>
  <c r="AA19" i="1"/>
  <c r="AB19" i="1" s="1"/>
  <c r="AD19" i="1" s="1"/>
  <c r="AA23" i="1"/>
  <c r="AB23" i="1" s="1"/>
  <c r="AD23" i="1" s="1"/>
  <c r="AA9" i="1"/>
  <c r="AB9" i="1" s="1"/>
  <c r="AD9" i="1" s="1"/>
  <c r="AA21" i="1"/>
  <c r="AB21" i="1" s="1"/>
  <c r="AD21" i="1" s="1"/>
  <c r="AA16" i="1"/>
  <c r="AB16" i="1" s="1"/>
  <c r="AD16" i="1" s="1"/>
  <c r="AA15" i="1"/>
  <c r="AB15" i="1" s="1"/>
  <c r="AD15" i="1" s="1"/>
  <c r="AA18" i="1"/>
  <c r="AB18" i="1" s="1"/>
  <c r="AD18" i="1" s="1"/>
  <c r="AA22" i="1"/>
  <c r="AB22" i="1" s="1"/>
  <c r="AD22" i="1" s="1"/>
  <c r="AA14" i="1"/>
  <c r="AB14" i="1" s="1"/>
  <c r="AD14" i="1" s="1"/>
  <c r="AA10" i="1"/>
  <c r="AB10" i="1" s="1"/>
  <c r="AD10" i="1" s="1"/>
  <c r="AA8" i="1"/>
  <c r="AB8" i="1" s="1"/>
  <c r="AD8" i="1" s="1"/>
  <c r="AA11" i="1"/>
  <c r="AB11" i="1" s="1"/>
  <c r="AD11" i="1" s="1"/>
  <c r="AA24" i="1"/>
  <c r="AB24" i="1" s="1"/>
  <c r="AD24" i="1" s="1"/>
  <c r="AA20" i="1"/>
  <c r="AB20" i="1" s="1"/>
  <c r="AD20" i="1" s="1"/>
  <c r="AM13" i="1" l="1"/>
  <c r="AN13" i="1" s="1"/>
  <c r="AE15" i="1"/>
  <c r="AF15" i="1"/>
  <c r="AE16" i="1"/>
  <c r="AF16" i="1"/>
  <c r="AE9" i="1"/>
  <c r="AF9" i="1"/>
  <c r="AE23" i="1"/>
  <c r="AF23" i="1"/>
  <c r="AE19" i="1"/>
  <c r="AF19" i="1"/>
  <c r="AE17" i="1"/>
  <c r="AF17" i="1"/>
  <c r="AE20" i="1"/>
  <c r="AF20" i="1"/>
  <c r="AC9" i="1"/>
  <c r="AE24" i="1"/>
  <c r="AF24" i="1"/>
  <c r="AE11" i="1"/>
  <c r="AF11" i="1"/>
  <c r="AE8" i="1"/>
  <c r="AF8" i="1"/>
  <c r="AE10" i="1"/>
  <c r="AF10" i="1"/>
  <c r="AE14" i="1"/>
  <c r="AF14" i="1"/>
  <c r="AF22" i="1"/>
  <c r="AE22" i="1"/>
  <c r="AE18" i="1"/>
  <c r="AF18" i="1"/>
  <c r="AF21" i="1"/>
  <c r="AE21" i="1"/>
  <c r="AC22" i="1"/>
  <c r="AC8" i="1"/>
  <c r="AC11" i="1"/>
  <c r="AC10" i="1"/>
  <c r="AC24" i="1"/>
  <c r="AC18" i="1"/>
  <c r="AC21" i="1"/>
  <c r="AC17" i="1"/>
  <c r="AC15" i="1"/>
  <c r="AC14" i="1"/>
  <c r="AC20" i="1"/>
  <c r="AC19" i="1"/>
  <c r="AC23" i="1"/>
  <c r="AC16" i="1"/>
  <c r="AI24" i="1" l="1"/>
  <c r="AJ24" i="1" s="1"/>
  <c r="AL24" i="1" s="1"/>
  <c r="AG24" i="1"/>
  <c r="AI20" i="1"/>
  <c r="AJ20" i="1" s="1"/>
  <c r="AL20" i="1" s="1"/>
  <c r="AG20" i="1"/>
  <c r="AH20" i="1" s="1"/>
  <c r="AI19" i="1"/>
  <c r="AJ19" i="1" s="1"/>
  <c r="AL19" i="1" s="1"/>
  <c r="AG19" i="1"/>
  <c r="AH19" i="1" s="1"/>
  <c r="AI18" i="1"/>
  <c r="AJ18" i="1" s="1"/>
  <c r="AL18" i="1" s="1"/>
  <c r="AG18" i="1"/>
  <c r="AI23" i="1"/>
  <c r="AJ23" i="1" s="1"/>
  <c r="AL23" i="1" s="1"/>
  <c r="AG23" i="1"/>
  <c r="AH23" i="1" s="1"/>
  <c r="AI22" i="1"/>
  <c r="AJ22" i="1" s="1"/>
  <c r="AL22" i="1" s="1"/>
  <c r="AG22" i="1"/>
  <c r="AH22" i="1" s="1"/>
  <c r="AI17" i="1"/>
  <c r="AJ17" i="1" s="1"/>
  <c r="AL17" i="1" s="1"/>
  <c r="AG17" i="1"/>
  <c r="AH17" i="1" s="1"/>
  <c r="AI21" i="1"/>
  <c r="AJ21" i="1" s="1"/>
  <c r="AL21" i="1" s="1"/>
  <c r="AG21" i="1"/>
  <c r="AI9" i="1"/>
  <c r="AJ9" i="1" s="1"/>
  <c r="AL9" i="1" s="1"/>
  <c r="AG9" i="1"/>
  <c r="AH9" i="1" s="1"/>
  <c r="AI14" i="1"/>
  <c r="AJ14" i="1" s="1"/>
  <c r="AL14" i="1" s="1"/>
  <c r="AG14" i="1"/>
  <c r="AH14" i="1" s="1"/>
  <c r="AI16" i="1"/>
  <c r="AJ16" i="1" s="1"/>
  <c r="AL16" i="1" s="1"/>
  <c r="AG16" i="1"/>
  <c r="AH16" i="1" s="1"/>
  <c r="AI10" i="1"/>
  <c r="AJ10" i="1" s="1"/>
  <c r="AL10" i="1" s="1"/>
  <c r="AG10" i="1"/>
  <c r="AI15" i="1"/>
  <c r="AJ15" i="1" s="1"/>
  <c r="AL15" i="1" s="1"/>
  <c r="AG15" i="1"/>
  <c r="AH15" i="1" s="1"/>
  <c r="AI11" i="1"/>
  <c r="AJ11" i="1" s="1"/>
  <c r="AL11" i="1" s="1"/>
  <c r="AG11" i="1"/>
  <c r="AH11" i="1" s="1"/>
  <c r="AI8" i="1"/>
  <c r="AJ8" i="1" s="1"/>
  <c r="AL8" i="1" s="1"/>
  <c r="AG8" i="1"/>
  <c r="AH8" i="1"/>
  <c r="AM17" i="1"/>
  <c r="AN17" i="1" s="1"/>
  <c r="AM8" i="1"/>
  <c r="AN8" i="1" s="1"/>
  <c r="AM22" i="1"/>
  <c r="AN22" i="1" s="1"/>
  <c r="AM23" i="1" l="1"/>
  <c r="AN23" i="1" s="1"/>
  <c r="AM11" i="1"/>
  <c r="AN11" i="1" s="1"/>
  <c r="AM9" i="1"/>
  <c r="AN9" i="1" s="1"/>
  <c r="AM19" i="1"/>
  <c r="AN19" i="1" s="1"/>
  <c r="AM14" i="1"/>
  <c r="AN14" i="1" s="1"/>
  <c r="AH21" i="1"/>
  <c r="AH18" i="1"/>
  <c r="AH10" i="1"/>
  <c r="AH24" i="1"/>
  <c r="AM15" i="1" l="1"/>
  <c r="AN15" i="1" s="1"/>
  <c r="AM16" i="1"/>
  <c r="AN16" i="1" s="1"/>
  <c r="AM20" i="1"/>
  <c r="AN20" i="1" s="1"/>
  <c r="AM24" i="1"/>
  <c r="AN24" i="1" s="1"/>
  <c r="AM10" i="1"/>
  <c r="AN10" i="1" s="1"/>
  <c r="AA12" i="1"/>
  <c r="AB12" i="1" s="1"/>
  <c r="AD12" i="1" s="1"/>
  <c r="AM18" i="1" l="1"/>
  <c r="AN18" i="1" s="1"/>
  <c r="AM21" i="1"/>
  <c r="AN21" i="1" s="1"/>
  <c r="AE12" i="1"/>
  <c r="AF12" i="1"/>
  <c r="AC12" i="1"/>
  <c r="AI12" i="1" l="1"/>
  <c r="AJ12" i="1" s="1"/>
  <c r="AL12" i="1" s="1"/>
  <c r="AG12" i="1"/>
  <c r="AH12" i="1" s="1"/>
  <c r="AM12" i="1" l="1"/>
  <c r="AN12" i="1" s="1"/>
  <c r="AN26" i="1" s="1"/>
</calcChain>
</file>

<file path=xl/sharedStrings.xml><?xml version="1.0" encoding="utf-8"?>
<sst xmlns="http://schemas.openxmlformats.org/spreadsheetml/2006/main" count="84" uniqueCount="45">
  <si>
    <t>ITEMS</t>
  </si>
  <si>
    <t>DESCRIPCION DEL PRODUCTO</t>
  </si>
  <si>
    <t>UN/MED</t>
  </si>
  <si>
    <t>CANT</t>
  </si>
  <si>
    <t>02-02-02-006-008 SERVICIOS DE POSTALES Y DE MENSAJERIA</t>
  </si>
  <si>
    <t>% IVA</t>
  </si>
  <si>
    <t>VALOR IVA</t>
  </si>
  <si>
    <t xml:space="preserve">V/R TOTAL </t>
  </si>
  <si>
    <t>MENOR VALOR</t>
  </si>
  <si>
    <t>PROMEDIO</t>
  </si>
  <si>
    <t xml:space="preserve">VALOR DE REFERENCIA UNITARIO  </t>
  </si>
  <si>
    <t xml:space="preserve">CRITERIO </t>
  </si>
  <si>
    <t>VALOR DE REFERENCIA UNITARIO ANTES DE IVA</t>
  </si>
  <si>
    <t xml:space="preserve">VALOR IVA </t>
  </si>
  <si>
    <t>VALOR DE REFERENCIA UNITARIO INCLUIDO IVA</t>
  </si>
  <si>
    <t>PROYECCIÓN PRECIOS DE REFERENCIA</t>
  </si>
  <si>
    <t xml:space="preserve">VALOR </t>
  </si>
  <si>
    <t xml:space="preserve">V/R TOTAL UNITARIO </t>
  </si>
  <si>
    <t>UNIDAD</t>
  </si>
  <si>
    <t>Baterías Pilas Tipo Botón Cr2025 3v Sony.</t>
  </si>
  <si>
    <t>Diadema Logitech H390 USB Negro Con Micrófono.</t>
  </si>
  <si>
    <t>Limpiador Espumoso Para Computadores Phinnix De 450ml.</t>
  </si>
  <si>
    <t>Limpiador De Pantalla Kit Limpieza Pc      100 ml</t>
  </si>
  <si>
    <t>Limpiador de contactos 3 EN-UNO o Limpiador Contactos    300 ml</t>
  </si>
  <si>
    <t>Multipuertos Tipo C Adaptador Multipuerto Satechi Type-C</t>
  </si>
  <si>
    <t>Crema Pasta Refrigerante Disipadora Bodega Digital HY510 X 25 gramos</t>
  </si>
  <si>
    <t>Kit Combo Teclado Y Mouse Hp 150 Alámbrico Color Negro</t>
  </si>
  <si>
    <t>Cable De Red Cat6e-10m Color Azul.</t>
  </si>
  <si>
    <t>Cable Lightning 8 Pines Iphone Ipod E Ipad Certificado Blanco (Original)</t>
  </si>
  <si>
    <t>Cable Cargador 2 Metros Tipo C (Original)</t>
  </si>
  <si>
    <t>Memoria RAM    16GB DDR4</t>
  </si>
  <si>
    <t>Disco Sólido Interno Adata Su650 512gb Negro</t>
  </si>
  <si>
    <t>Teclado APPLE   Bluetooh Recargable inalámbrico iMac blanco (Original)</t>
  </si>
  <si>
    <t>Paño Microfibra Azul Task Pro 40x40</t>
  </si>
  <si>
    <t>UPS Chicago Digital Power R-Series R-UPR508 500VA</t>
  </si>
  <si>
    <t>TONER RICOH MP301SPF-ORIFINAL</t>
  </si>
  <si>
    <t>TONER RICOH MP502SPF-ORIFINAL</t>
  </si>
  <si>
    <t xml:space="preserve">TECNOLOGIA Y SERVICIOS </t>
  </si>
  <si>
    <t>CLUSTER DE SERVICIOS SAS</t>
  </si>
  <si>
    <t>PC MAC SERVICIOS Y VENTAS S.A.</t>
  </si>
  <si>
    <t>COMERCIALIZADORA SEMCAR</t>
  </si>
  <si>
    <t>FSCOMPUTER</t>
  </si>
  <si>
    <t>VALOR TOTAL</t>
  </si>
  <si>
    <t>5 COTIZACIONES</t>
  </si>
  <si>
    <t xml:space="preserve">MEDIA GEOMETRICA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</si>
</sst>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D03B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1" xfId="2" applyFont="1" applyFill="1" applyBorder="1"/>
    <xf numFmtId="0" fontId="4" fillId="2" borderId="1" xfId="2" applyFont="1" applyFill="1" applyBorder="1" applyAlignment="1">
      <alignment horizontal="center"/>
    </xf>
    <xf numFmtId="41" fontId="0" fillId="0" borderId="0" xfId="1" applyFont="1"/>
    <xf numFmtId="41" fontId="4" fillId="2" borderId="1" xfId="1" applyFont="1" applyFill="1" applyBorder="1"/>
    <xf numFmtId="164" fontId="4" fillId="0" borderId="1" xfId="3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1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justify" vertical="justify" wrapText="1"/>
    </xf>
    <xf numFmtId="164" fontId="0" fillId="0" borderId="0" xfId="0" applyNumberFormat="1"/>
    <xf numFmtId="43" fontId="0" fillId="0" borderId="0" xfId="4" applyFont="1"/>
    <xf numFmtId="43" fontId="0" fillId="0" borderId="1" xfId="4" applyFont="1" applyBorder="1"/>
    <xf numFmtId="43" fontId="0" fillId="0" borderId="0" xfId="0" applyNumberFormat="1"/>
    <xf numFmtId="164" fontId="3" fillId="8" borderId="1" xfId="1" applyNumberFormat="1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43" fontId="3" fillId="8" borderId="1" xfId="4" applyFont="1" applyFill="1" applyBorder="1" applyAlignment="1">
      <alignment horizontal="center" vertical="center" wrapText="1"/>
    </xf>
    <xf numFmtId="164" fontId="6" fillId="8" borderId="5" xfId="1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 wrapText="1"/>
    </xf>
    <xf numFmtId="0" fontId="3" fillId="6" borderId="2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4" xfId="2" applyFont="1" applyFill="1" applyBorder="1" applyAlignment="1">
      <alignment horizontal="center" vertical="center"/>
    </xf>
    <xf numFmtId="0" fontId="3" fillId="7" borderId="2" xfId="2" applyFont="1" applyFill="1" applyBorder="1" applyAlignment="1">
      <alignment horizontal="center" vertical="center"/>
    </xf>
    <xf numFmtId="0" fontId="3" fillId="7" borderId="3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</cellXfs>
  <cellStyles count="5">
    <cellStyle name="Millares" xfId="4" builtinId="3"/>
    <cellStyle name="Millares [0]" xfId="1" builtinId="6"/>
    <cellStyle name="Millares [0]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CD03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N28"/>
  <sheetViews>
    <sheetView tabSelected="1" zoomScaleNormal="100" workbookViewId="0">
      <selection activeCell="F7" sqref="F7"/>
    </sheetView>
  </sheetViews>
  <sheetFormatPr baseColWidth="10" defaultRowHeight="14.4" x14ac:dyDescent="0.3"/>
  <cols>
    <col min="2" max="2" width="30.88671875" customWidth="1"/>
    <col min="5" max="5" width="16.33203125" customWidth="1"/>
    <col min="6" max="7" width="10.88671875" customWidth="1"/>
    <col min="8" max="8" width="16.33203125" customWidth="1"/>
    <col min="9" max="9" width="16.88671875" customWidth="1"/>
    <col min="10" max="10" width="17.109375" customWidth="1"/>
    <col min="11" max="11" width="10.88671875" customWidth="1"/>
    <col min="12" max="12" width="17.33203125" customWidth="1"/>
    <col min="13" max="13" width="28" customWidth="1"/>
    <col min="14" max="24" width="24.44140625" customWidth="1"/>
    <col min="25" max="25" width="14.109375" style="6" customWidth="1"/>
    <col min="26" max="26" width="10.88671875" customWidth="1"/>
    <col min="27" max="27" width="14.5546875" customWidth="1"/>
    <col min="28" max="28" width="16.5546875" customWidth="1"/>
    <col min="29" max="29" width="23.44140625" customWidth="1"/>
    <col min="30" max="30" width="25.44140625" hidden="1" customWidth="1"/>
    <col min="31" max="32" width="18.44140625" customWidth="1"/>
    <col min="33" max="33" width="14.6640625" customWidth="1"/>
    <col min="34" max="34" width="13.6640625" customWidth="1"/>
    <col min="35" max="35" width="14.109375" style="19" customWidth="1"/>
    <col min="36" max="36" width="15.109375" customWidth="1"/>
    <col min="37" max="37" width="14.33203125" customWidth="1"/>
    <col min="38" max="38" width="15.5546875" customWidth="1"/>
    <col min="39" max="39" width="16.33203125" customWidth="1"/>
    <col min="40" max="40" width="21.88671875" customWidth="1"/>
  </cols>
  <sheetData>
    <row r="4" spans="1:40" x14ac:dyDescent="0.3">
      <c r="E4" s="28" t="s">
        <v>37</v>
      </c>
      <c r="F4" s="28"/>
      <c r="G4" s="28"/>
      <c r="H4" s="28"/>
      <c r="I4" s="28"/>
      <c r="J4" s="29" t="s">
        <v>38</v>
      </c>
      <c r="K4" s="29"/>
      <c r="L4" s="29"/>
      <c r="M4" s="29"/>
      <c r="N4" s="29"/>
      <c r="O4" s="31" t="s">
        <v>39</v>
      </c>
      <c r="P4" s="32"/>
      <c r="Q4" s="32"/>
      <c r="R4" s="32"/>
      <c r="S4" s="33"/>
      <c r="T4" s="34" t="s">
        <v>40</v>
      </c>
      <c r="U4" s="35"/>
      <c r="V4" s="35"/>
      <c r="W4" s="35"/>
      <c r="X4" s="36"/>
      <c r="Y4" s="30" t="s">
        <v>41</v>
      </c>
      <c r="Z4" s="30"/>
      <c r="AA4" s="30"/>
      <c r="AB4" s="30"/>
      <c r="AC4" s="30"/>
      <c r="AD4" s="26" t="s">
        <v>15</v>
      </c>
      <c r="AE4" s="27"/>
      <c r="AF4" s="27"/>
      <c r="AG4" s="27"/>
      <c r="AH4" s="27"/>
      <c r="AI4" s="25" t="s">
        <v>43</v>
      </c>
      <c r="AJ4" s="25"/>
      <c r="AK4" s="25"/>
      <c r="AL4" s="25"/>
      <c r="AM4" s="25"/>
      <c r="AN4" s="25"/>
    </row>
    <row r="5" spans="1:40" ht="40.799999999999997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16</v>
      </c>
      <c r="F5" s="1" t="s">
        <v>5</v>
      </c>
      <c r="G5" s="1" t="s">
        <v>6</v>
      </c>
      <c r="H5" s="1" t="s">
        <v>17</v>
      </c>
      <c r="I5" s="1" t="s">
        <v>7</v>
      </c>
      <c r="J5" s="1" t="s">
        <v>16</v>
      </c>
      <c r="K5" s="1" t="s">
        <v>5</v>
      </c>
      <c r="L5" s="1" t="s">
        <v>6</v>
      </c>
      <c r="M5" s="1" t="s">
        <v>17</v>
      </c>
      <c r="N5" s="1" t="s">
        <v>7</v>
      </c>
      <c r="O5" s="1" t="s">
        <v>16</v>
      </c>
      <c r="P5" s="1" t="s">
        <v>5</v>
      </c>
      <c r="Q5" s="1" t="s">
        <v>6</v>
      </c>
      <c r="R5" s="1" t="s">
        <v>17</v>
      </c>
      <c r="S5" s="1" t="s">
        <v>7</v>
      </c>
      <c r="T5" s="1" t="s">
        <v>16</v>
      </c>
      <c r="U5" s="1" t="s">
        <v>5</v>
      </c>
      <c r="V5" s="1" t="s">
        <v>6</v>
      </c>
      <c r="W5" s="1" t="s">
        <v>17</v>
      </c>
      <c r="X5" s="1" t="s">
        <v>7</v>
      </c>
      <c r="Y5" s="1" t="s">
        <v>16</v>
      </c>
      <c r="Z5" s="1" t="s">
        <v>5</v>
      </c>
      <c r="AA5" s="1" t="s">
        <v>6</v>
      </c>
      <c r="AB5" s="1" t="s">
        <v>17</v>
      </c>
      <c r="AC5" s="1" t="s">
        <v>7</v>
      </c>
      <c r="AD5" s="1" t="s">
        <v>8</v>
      </c>
      <c r="AE5" s="1" t="s">
        <v>9</v>
      </c>
      <c r="AF5" s="1" t="s">
        <v>44</v>
      </c>
      <c r="AG5" s="1" t="s">
        <v>10</v>
      </c>
      <c r="AH5" s="1" t="s">
        <v>11</v>
      </c>
      <c r="AI5" s="22" t="s">
        <v>12</v>
      </c>
      <c r="AJ5" s="22" t="s">
        <v>12</v>
      </c>
      <c r="AK5" s="23" t="s">
        <v>5</v>
      </c>
      <c r="AL5" s="23" t="s">
        <v>13</v>
      </c>
      <c r="AM5" s="23" t="s">
        <v>14</v>
      </c>
      <c r="AN5" s="24" t="s">
        <v>42</v>
      </c>
    </row>
    <row r="6" spans="1:40" ht="20.399999999999999" hidden="1" x14ac:dyDescent="0.3">
      <c r="A6" s="2"/>
      <c r="B6" s="1" t="s">
        <v>4</v>
      </c>
      <c r="C6" s="2"/>
      <c r="D6" s="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7"/>
      <c r="Z6" s="4"/>
      <c r="AA6" s="4"/>
      <c r="AB6" s="4"/>
      <c r="AC6" s="4"/>
      <c r="AD6" s="4"/>
      <c r="AE6" s="5"/>
      <c r="AF6" s="5"/>
      <c r="AG6" s="4"/>
      <c r="AH6" s="4"/>
      <c r="AJ6" s="9"/>
      <c r="AK6" s="4"/>
      <c r="AL6" s="4"/>
      <c r="AM6" s="4"/>
      <c r="AN6" s="19"/>
    </row>
    <row r="7" spans="1:40" ht="26.4" x14ac:dyDescent="0.3">
      <c r="A7" s="10">
        <v>1</v>
      </c>
      <c r="B7" s="17" t="s">
        <v>19</v>
      </c>
      <c r="C7" s="11" t="s">
        <v>18</v>
      </c>
      <c r="D7" s="3">
        <v>8</v>
      </c>
      <c r="E7" s="12">
        <v>4760</v>
      </c>
      <c r="F7" s="13">
        <v>0</v>
      </c>
      <c r="G7" s="12">
        <f>+E7*F7</f>
        <v>0</v>
      </c>
      <c r="H7" s="14">
        <f>+E7+G7</f>
        <v>4760</v>
      </c>
      <c r="I7" s="12">
        <f>+H7*$D$7</f>
        <v>38080</v>
      </c>
      <c r="J7" s="12">
        <v>10100</v>
      </c>
      <c r="K7" s="13">
        <v>0.19</v>
      </c>
      <c r="L7" s="12">
        <f>+J7*K7</f>
        <v>1919</v>
      </c>
      <c r="M7" s="14">
        <f>+J7+L7</f>
        <v>12019</v>
      </c>
      <c r="N7" s="12">
        <f>+M7*$D$7</f>
        <v>96152</v>
      </c>
      <c r="O7" s="12">
        <v>15900</v>
      </c>
      <c r="P7" s="13">
        <v>0.19</v>
      </c>
      <c r="Q7" s="12">
        <f>+O7*P7</f>
        <v>3021</v>
      </c>
      <c r="R7" s="14">
        <f>+O7+Q7</f>
        <v>18921</v>
      </c>
      <c r="S7" s="12">
        <f>+R7*$D$7</f>
        <v>151368</v>
      </c>
      <c r="T7" s="12">
        <v>4200</v>
      </c>
      <c r="U7" s="13">
        <v>0.19</v>
      </c>
      <c r="V7" s="12">
        <f>+T7*U7</f>
        <v>798</v>
      </c>
      <c r="W7" s="14">
        <f>+T7+V7</f>
        <v>4998</v>
      </c>
      <c r="X7" s="12">
        <f>+W7*$D$7</f>
        <v>39984</v>
      </c>
      <c r="Y7" s="14">
        <v>3400</v>
      </c>
      <c r="Z7" s="13">
        <v>0.19</v>
      </c>
      <c r="AA7" s="12">
        <f t="shared" ref="AA7:AA24" si="0">+Y7*Z7</f>
        <v>646</v>
      </c>
      <c r="AB7" s="14">
        <f>+Y7+AA7</f>
        <v>4046</v>
      </c>
      <c r="AC7" s="12">
        <f>+AB7*$D$7</f>
        <v>32368</v>
      </c>
      <c r="AD7" s="14">
        <f>+MIN(M7,R7,W7,AB7)</f>
        <v>4046</v>
      </c>
      <c r="AE7" s="14">
        <f t="shared" ref="AE7:AE24" si="1">+AVERAGE(H7,M7,R7,W7,AB7)</f>
        <v>8948.7999999999993</v>
      </c>
      <c r="AF7" s="15">
        <f t="shared" ref="AF7:AF24" si="2">+GEOMEAN(H7,M7,R7,W7,AB7)</f>
        <v>7379.8630191134525</v>
      </c>
      <c r="AG7" s="16">
        <f>+AF7</f>
        <v>7379.8630191134525</v>
      </c>
      <c r="AH7" s="8" t="str">
        <f t="shared" ref="AH7:AH24" si="3">IF(AG7=AD7,"MENOR VALOR","MEDIA GEOMETRICA")</f>
        <v>MEDIA GEOMETRICA</v>
      </c>
      <c r="AI7" s="20">
        <f t="shared" ref="AI7:AI24" si="4">+AF7</f>
        <v>7379.8630191134525</v>
      </c>
      <c r="AJ7" s="12">
        <f>+AI7/1.19</f>
        <v>6201.5655622802124</v>
      </c>
      <c r="AK7" s="13">
        <v>0.19</v>
      </c>
      <c r="AL7" s="12">
        <f>+AJ7*AK7</f>
        <v>1178.2974568332404</v>
      </c>
      <c r="AM7" s="16">
        <f>+AJ7+AL7</f>
        <v>7379.8630191134525</v>
      </c>
      <c r="AN7" s="20">
        <f t="shared" ref="AN7:AN24" si="5">+AM7*D7</f>
        <v>59038.90415290762</v>
      </c>
    </row>
    <row r="8" spans="1:40" ht="26.4" x14ac:dyDescent="0.3">
      <c r="A8" s="10">
        <v>2</v>
      </c>
      <c r="B8" s="17" t="s">
        <v>20</v>
      </c>
      <c r="C8" s="11" t="s">
        <v>18</v>
      </c>
      <c r="D8" s="3">
        <v>20</v>
      </c>
      <c r="E8" s="12">
        <v>226576</v>
      </c>
      <c r="F8" s="13">
        <v>0</v>
      </c>
      <c r="G8" s="12">
        <f t="shared" ref="G8:G23" si="6">+E8*F8</f>
        <v>0</v>
      </c>
      <c r="H8" s="14">
        <f t="shared" ref="H8:H23" si="7">+E8+G8</f>
        <v>226576</v>
      </c>
      <c r="I8" s="12">
        <f>+H8*$D$8</f>
        <v>4531520</v>
      </c>
      <c r="J8" s="12">
        <v>157000</v>
      </c>
      <c r="K8" s="13">
        <v>0.19</v>
      </c>
      <c r="L8" s="12">
        <f t="shared" ref="L8:L24" si="8">+J8*K8</f>
        <v>29830</v>
      </c>
      <c r="M8" s="14">
        <f t="shared" ref="M8:M24" si="9">+J8+L8</f>
        <v>186830</v>
      </c>
      <c r="N8" s="12">
        <f>+M8*$D$8</f>
        <v>3736600</v>
      </c>
      <c r="O8" s="12">
        <v>120000</v>
      </c>
      <c r="P8" s="13">
        <v>0.19</v>
      </c>
      <c r="Q8" s="12">
        <f t="shared" ref="Q8:Q24" si="10">+O8*P8</f>
        <v>22800</v>
      </c>
      <c r="R8" s="14">
        <f t="shared" ref="R8:R24" si="11">+O8+Q8</f>
        <v>142800</v>
      </c>
      <c r="S8" s="12">
        <f>+R8*$D$8</f>
        <v>2856000</v>
      </c>
      <c r="T8" s="12">
        <v>117000</v>
      </c>
      <c r="U8" s="13">
        <v>0.19</v>
      </c>
      <c r="V8" s="12">
        <f t="shared" ref="V8:V24" si="12">+T8*U8</f>
        <v>22230</v>
      </c>
      <c r="W8" s="14">
        <f t="shared" ref="W8:W24" si="13">+T8+V8</f>
        <v>139230</v>
      </c>
      <c r="X8" s="12">
        <f>+W8*$D$8</f>
        <v>2784600</v>
      </c>
      <c r="Y8" s="14">
        <v>103700</v>
      </c>
      <c r="Z8" s="13">
        <v>0.19</v>
      </c>
      <c r="AA8" s="12">
        <f t="shared" si="0"/>
        <v>19703</v>
      </c>
      <c r="AB8" s="14">
        <f t="shared" ref="AB8:AB24" si="14">+Y8+AA8</f>
        <v>123403</v>
      </c>
      <c r="AC8" s="12">
        <f>+AB8*$D$8</f>
        <v>2468060</v>
      </c>
      <c r="AD8" s="14">
        <f t="shared" ref="AD8:AD24" si="15">+MIN(M8,R8,W8,AB8)</f>
        <v>123403</v>
      </c>
      <c r="AE8" s="14">
        <f t="shared" si="1"/>
        <v>163767.79999999999</v>
      </c>
      <c r="AF8" s="15">
        <f t="shared" si="2"/>
        <v>159694.31414348102</v>
      </c>
      <c r="AG8" s="16">
        <f t="shared" ref="AG8:AG24" si="16">+AF8</f>
        <v>159694.31414348102</v>
      </c>
      <c r="AH8" s="8" t="str">
        <f t="shared" si="3"/>
        <v>MEDIA GEOMETRICA</v>
      </c>
      <c r="AI8" s="20">
        <f t="shared" si="4"/>
        <v>159694.31414348102</v>
      </c>
      <c r="AJ8" s="12">
        <f t="shared" ref="AJ8:AJ24" si="17">+AI8/1.19</f>
        <v>134196.9026415807</v>
      </c>
      <c r="AK8" s="13">
        <v>0.19</v>
      </c>
      <c r="AL8" s="12">
        <f t="shared" ref="AL8:AL24" si="18">+AJ8*AK8</f>
        <v>25497.411501900333</v>
      </c>
      <c r="AM8" s="16">
        <f t="shared" ref="AM8:AM24" si="19">+AJ8+AL8</f>
        <v>159694.31414348102</v>
      </c>
      <c r="AN8" s="20">
        <f t="shared" si="5"/>
        <v>3193886.2828696202</v>
      </c>
    </row>
    <row r="9" spans="1:40" ht="26.4" x14ac:dyDescent="0.3">
      <c r="A9" s="10">
        <v>3</v>
      </c>
      <c r="B9" s="17" t="s">
        <v>21</v>
      </c>
      <c r="C9" s="11" t="s">
        <v>18</v>
      </c>
      <c r="D9" s="3">
        <v>1</v>
      </c>
      <c r="E9" s="12">
        <v>51408</v>
      </c>
      <c r="F9" s="13">
        <v>0</v>
      </c>
      <c r="G9" s="12">
        <f t="shared" si="6"/>
        <v>0</v>
      </c>
      <c r="H9" s="14">
        <f t="shared" si="7"/>
        <v>51408</v>
      </c>
      <c r="I9" s="12">
        <f>+H9*$D$9</f>
        <v>51408</v>
      </c>
      <c r="J9" s="12">
        <v>43900</v>
      </c>
      <c r="K9" s="13">
        <v>0.19</v>
      </c>
      <c r="L9" s="12">
        <f t="shared" si="8"/>
        <v>8341</v>
      </c>
      <c r="M9" s="14">
        <f t="shared" si="9"/>
        <v>52241</v>
      </c>
      <c r="N9" s="12">
        <f>+M9*$D$9</f>
        <v>52241</v>
      </c>
      <c r="O9" s="12">
        <v>30000</v>
      </c>
      <c r="P9" s="13">
        <v>0.19</v>
      </c>
      <c r="Q9" s="12">
        <f t="shared" si="10"/>
        <v>5700</v>
      </c>
      <c r="R9" s="14">
        <f t="shared" si="11"/>
        <v>35700</v>
      </c>
      <c r="S9" s="12">
        <f>+R9*$D$9</f>
        <v>35700</v>
      </c>
      <c r="T9" s="12">
        <v>25000</v>
      </c>
      <c r="U9" s="13">
        <v>0.19</v>
      </c>
      <c r="V9" s="12">
        <f t="shared" si="12"/>
        <v>4750</v>
      </c>
      <c r="W9" s="14">
        <f t="shared" si="13"/>
        <v>29750</v>
      </c>
      <c r="X9" s="12">
        <f>+W9*$D$9</f>
        <v>29750</v>
      </c>
      <c r="Y9" s="14">
        <v>28000</v>
      </c>
      <c r="Z9" s="13">
        <v>0.19</v>
      </c>
      <c r="AA9" s="12">
        <f t="shared" si="0"/>
        <v>5320</v>
      </c>
      <c r="AB9" s="14">
        <f t="shared" si="14"/>
        <v>33320</v>
      </c>
      <c r="AC9" s="12">
        <f>+AB9*$D$9</f>
        <v>33320</v>
      </c>
      <c r="AD9" s="14">
        <f t="shared" si="15"/>
        <v>29750</v>
      </c>
      <c r="AE9" s="14">
        <f t="shared" si="1"/>
        <v>40483.800000000003</v>
      </c>
      <c r="AF9" s="15">
        <f t="shared" si="2"/>
        <v>39407.644232195809</v>
      </c>
      <c r="AG9" s="16">
        <f t="shared" si="16"/>
        <v>39407.644232195809</v>
      </c>
      <c r="AH9" s="8" t="str">
        <f t="shared" si="3"/>
        <v>MEDIA GEOMETRICA</v>
      </c>
      <c r="AI9" s="20">
        <f t="shared" si="4"/>
        <v>39407.644232195809</v>
      </c>
      <c r="AJ9" s="12">
        <f t="shared" si="17"/>
        <v>33115.667422013285</v>
      </c>
      <c r="AK9" s="13">
        <v>0.19</v>
      </c>
      <c r="AL9" s="12">
        <f t="shared" si="18"/>
        <v>6291.9768101825239</v>
      </c>
      <c r="AM9" s="16">
        <f t="shared" si="19"/>
        <v>39407.644232195809</v>
      </c>
      <c r="AN9" s="20">
        <f t="shared" si="5"/>
        <v>39407.644232195809</v>
      </c>
    </row>
    <row r="10" spans="1:40" ht="26.4" x14ac:dyDescent="0.3">
      <c r="A10" s="10">
        <v>4</v>
      </c>
      <c r="B10" s="17" t="s">
        <v>22</v>
      </c>
      <c r="C10" s="11" t="s">
        <v>18</v>
      </c>
      <c r="D10" s="3">
        <v>2</v>
      </c>
      <c r="E10" s="12">
        <v>55216</v>
      </c>
      <c r="F10" s="13">
        <v>0</v>
      </c>
      <c r="G10" s="12">
        <f t="shared" si="6"/>
        <v>0</v>
      </c>
      <c r="H10" s="14">
        <f t="shared" si="7"/>
        <v>55216</v>
      </c>
      <c r="I10" s="12">
        <f>+H10*$D$10</f>
        <v>110432</v>
      </c>
      <c r="J10" s="12">
        <v>31400</v>
      </c>
      <c r="K10" s="13">
        <v>0.19</v>
      </c>
      <c r="L10" s="12">
        <f t="shared" si="8"/>
        <v>5966</v>
      </c>
      <c r="M10" s="14">
        <f t="shared" si="9"/>
        <v>37366</v>
      </c>
      <c r="N10" s="12">
        <f>+M10*$D$10</f>
        <v>74732</v>
      </c>
      <c r="O10" s="12">
        <v>53000</v>
      </c>
      <c r="P10" s="13">
        <v>0.19</v>
      </c>
      <c r="Q10" s="12">
        <f t="shared" si="10"/>
        <v>10070</v>
      </c>
      <c r="R10" s="14">
        <f t="shared" si="11"/>
        <v>63070</v>
      </c>
      <c r="S10" s="12">
        <f>+R10*$D$10</f>
        <v>126140</v>
      </c>
      <c r="T10" s="12">
        <v>10900</v>
      </c>
      <c r="U10" s="13">
        <v>0.19</v>
      </c>
      <c r="V10" s="12">
        <f t="shared" si="12"/>
        <v>2071</v>
      </c>
      <c r="W10" s="14">
        <f t="shared" si="13"/>
        <v>12971</v>
      </c>
      <c r="X10" s="12">
        <f>+W10*$D$10</f>
        <v>25942</v>
      </c>
      <c r="Y10" s="14">
        <v>25400</v>
      </c>
      <c r="Z10" s="13">
        <v>0.19</v>
      </c>
      <c r="AA10" s="12">
        <f t="shared" si="0"/>
        <v>4826</v>
      </c>
      <c r="AB10" s="14">
        <f t="shared" si="14"/>
        <v>30226</v>
      </c>
      <c r="AC10" s="12">
        <f>+AB10*$D$10</f>
        <v>60452</v>
      </c>
      <c r="AD10" s="14">
        <f t="shared" si="15"/>
        <v>12971</v>
      </c>
      <c r="AE10" s="14">
        <f t="shared" si="1"/>
        <v>39769.800000000003</v>
      </c>
      <c r="AF10" s="15">
        <f t="shared" si="2"/>
        <v>34797.15229800612</v>
      </c>
      <c r="AG10" s="16">
        <f t="shared" si="16"/>
        <v>34797.15229800612</v>
      </c>
      <c r="AH10" s="8" t="str">
        <f t="shared" si="3"/>
        <v>MEDIA GEOMETRICA</v>
      </c>
      <c r="AI10" s="20">
        <f t="shared" si="4"/>
        <v>34797.15229800612</v>
      </c>
      <c r="AJ10" s="12">
        <f t="shared" si="17"/>
        <v>29241.304452105986</v>
      </c>
      <c r="AK10" s="13">
        <v>0.19</v>
      </c>
      <c r="AL10" s="12">
        <f t="shared" si="18"/>
        <v>5555.8478459001371</v>
      </c>
      <c r="AM10" s="16">
        <f t="shared" si="19"/>
        <v>34797.15229800612</v>
      </c>
      <c r="AN10" s="20">
        <f t="shared" si="5"/>
        <v>69594.30459601224</v>
      </c>
    </row>
    <row r="11" spans="1:40" ht="26.4" x14ac:dyDescent="0.3">
      <c r="A11" s="10">
        <v>5</v>
      </c>
      <c r="B11" s="17" t="s">
        <v>23</v>
      </c>
      <c r="C11" s="11" t="s">
        <v>18</v>
      </c>
      <c r="D11" s="3">
        <v>1</v>
      </c>
      <c r="E11" s="12">
        <v>93296</v>
      </c>
      <c r="F11" s="13">
        <v>0</v>
      </c>
      <c r="G11" s="12">
        <f t="shared" si="6"/>
        <v>0</v>
      </c>
      <c r="H11" s="14">
        <f t="shared" si="7"/>
        <v>93296</v>
      </c>
      <c r="I11" s="12">
        <f>+H11*$D$11</f>
        <v>93296</v>
      </c>
      <c r="J11" s="12">
        <v>57000</v>
      </c>
      <c r="K11" s="13">
        <v>0.19</v>
      </c>
      <c r="L11" s="12">
        <f t="shared" si="8"/>
        <v>10830</v>
      </c>
      <c r="M11" s="14">
        <f t="shared" si="9"/>
        <v>67830</v>
      </c>
      <c r="N11" s="12">
        <f>+M11*$D$11</f>
        <v>67830</v>
      </c>
      <c r="O11" s="12">
        <v>50000</v>
      </c>
      <c r="P11" s="13">
        <v>0.19</v>
      </c>
      <c r="Q11" s="12">
        <f t="shared" si="10"/>
        <v>9500</v>
      </c>
      <c r="R11" s="14">
        <f t="shared" si="11"/>
        <v>59500</v>
      </c>
      <c r="S11" s="12">
        <f>+R11*$D$11</f>
        <v>59500</v>
      </c>
      <c r="T11" s="12">
        <v>29000</v>
      </c>
      <c r="U11" s="13">
        <v>0.19</v>
      </c>
      <c r="V11" s="12">
        <f t="shared" si="12"/>
        <v>5510</v>
      </c>
      <c r="W11" s="14">
        <f t="shared" si="13"/>
        <v>34510</v>
      </c>
      <c r="X11" s="12">
        <f>+W11*$D$11</f>
        <v>34510</v>
      </c>
      <c r="Y11" s="14">
        <v>37800</v>
      </c>
      <c r="Z11" s="13">
        <v>0.19</v>
      </c>
      <c r="AA11" s="12">
        <f t="shared" si="0"/>
        <v>7182</v>
      </c>
      <c r="AB11" s="14">
        <f t="shared" si="14"/>
        <v>44982</v>
      </c>
      <c r="AC11" s="12">
        <f>+AB11*$D$11</f>
        <v>44982</v>
      </c>
      <c r="AD11" s="14">
        <f t="shared" si="15"/>
        <v>34510</v>
      </c>
      <c r="AE11" s="14">
        <f t="shared" si="1"/>
        <v>60023.6</v>
      </c>
      <c r="AF11" s="15">
        <f t="shared" si="2"/>
        <v>56670.507968815655</v>
      </c>
      <c r="AG11" s="16">
        <f t="shared" si="16"/>
        <v>56670.507968815655</v>
      </c>
      <c r="AH11" s="8" t="str">
        <f t="shared" si="3"/>
        <v>MEDIA GEOMETRICA</v>
      </c>
      <c r="AI11" s="20">
        <f t="shared" si="4"/>
        <v>56670.507968815655</v>
      </c>
      <c r="AJ11" s="12">
        <f t="shared" si="17"/>
        <v>47622.275604046772</v>
      </c>
      <c r="AK11" s="13">
        <v>0.19</v>
      </c>
      <c r="AL11" s="12">
        <f t="shared" si="18"/>
        <v>9048.2323647688863</v>
      </c>
      <c r="AM11" s="16">
        <f t="shared" si="19"/>
        <v>56670.507968815655</v>
      </c>
      <c r="AN11" s="20">
        <f t="shared" si="5"/>
        <v>56670.507968815655</v>
      </c>
    </row>
    <row r="12" spans="1:40" ht="26.4" x14ac:dyDescent="0.3">
      <c r="A12" s="10">
        <v>6</v>
      </c>
      <c r="B12" s="17" t="s">
        <v>24</v>
      </c>
      <c r="C12" s="11" t="s">
        <v>18</v>
      </c>
      <c r="D12" s="3">
        <v>7</v>
      </c>
      <c r="E12" s="12">
        <v>740656</v>
      </c>
      <c r="F12" s="13">
        <v>0</v>
      </c>
      <c r="G12" s="12">
        <f t="shared" si="6"/>
        <v>0</v>
      </c>
      <c r="H12" s="14">
        <f t="shared" si="7"/>
        <v>740656</v>
      </c>
      <c r="I12" s="12">
        <f>+H12*$D$12</f>
        <v>5184592</v>
      </c>
      <c r="J12" s="12">
        <v>200000</v>
      </c>
      <c r="K12" s="13">
        <v>0.19</v>
      </c>
      <c r="L12" s="12">
        <f t="shared" si="8"/>
        <v>38000</v>
      </c>
      <c r="M12" s="14">
        <f t="shared" si="9"/>
        <v>238000</v>
      </c>
      <c r="N12" s="12">
        <f>+M12*$D$12</f>
        <v>1666000</v>
      </c>
      <c r="O12" s="12">
        <v>290000</v>
      </c>
      <c r="P12" s="13">
        <v>0.19</v>
      </c>
      <c r="Q12" s="12">
        <f t="shared" si="10"/>
        <v>55100</v>
      </c>
      <c r="R12" s="14">
        <f t="shared" si="11"/>
        <v>345100</v>
      </c>
      <c r="S12" s="12">
        <f>+R12*$D$12</f>
        <v>2415700</v>
      </c>
      <c r="T12" s="12">
        <v>250000</v>
      </c>
      <c r="U12" s="13">
        <v>0.19</v>
      </c>
      <c r="V12" s="12">
        <f t="shared" si="12"/>
        <v>47500</v>
      </c>
      <c r="W12" s="14">
        <f t="shared" si="13"/>
        <v>297500</v>
      </c>
      <c r="X12" s="12">
        <f>+W12*$D$12</f>
        <v>2082500</v>
      </c>
      <c r="Y12" s="12">
        <v>371950</v>
      </c>
      <c r="Z12" s="13">
        <v>0.19</v>
      </c>
      <c r="AA12" s="12">
        <f t="shared" si="0"/>
        <v>70670.5</v>
      </c>
      <c r="AB12" s="14">
        <f t="shared" si="14"/>
        <v>442620.5</v>
      </c>
      <c r="AC12" s="12">
        <f>+AB12*$D$12</f>
        <v>3098343.5</v>
      </c>
      <c r="AD12" s="14">
        <f t="shared" si="15"/>
        <v>238000</v>
      </c>
      <c r="AE12" s="14">
        <f t="shared" si="1"/>
        <v>412775.3</v>
      </c>
      <c r="AF12" s="15">
        <f t="shared" si="2"/>
        <v>380830.20914244512</v>
      </c>
      <c r="AG12" s="16">
        <f t="shared" si="16"/>
        <v>380830.20914244512</v>
      </c>
      <c r="AH12" s="8" t="str">
        <f t="shared" si="3"/>
        <v>MEDIA GEOMETRICA</v>
      </c>
      <c r="AI12" s="20">
        <f t="shared" si="4"/>
        <v>380830.20914244512</v>
      </c>
      <c r="AJ12" s="12">
        <f t="shared" si="17"/>
        <v>320025.3858339875</v>
      </c>
      <c r="AK12" s="13">
        <v>0.19</v>
      </c>
      <c r="AL12" s="12">
        <f t="shared" si="18"/>
        <v>60804.823308457628</v>
      </c>
      <c r="AM12" s="16">
        <f t="shared" si="19"/>
        <v>380830.20914244512</v>
      </c>
      <c r="AN12" s="20">
        <f t="shared" si="5"/>
        <v>2665811.4639971158</v>
      </c>
    </row>
    <row r="13" spans="1:40" ht="39.6" x14ac:dyDescent="0.3">
      <c r="A13" s="10">
        <v>7</v>
      </c>
      <c r="B13" s="17" t="s">
        <v>25</v>
      </c>
      <c r="C13" s="11" t="s">
        <v>18</v>
      </c>
      <c r="D13" s="3">
        <v>2</v>
      </c>
      <c r="E13" s="12">
        <v>15232</v>
      </c>
      <c r="F13" s="13">
        <v>0</v>
      </c>
      <c r="G13" s="12">
        <f t="shared" si="6"/>
        <v>0</v>
      </c>
      <c r="H13" s="14">
        <f t="shared" si="7"/>
        <v>15232</v>
      </c>
      <c r="I13" s="12">
        <f>+H13*$D$13</f>
        <v>30464</v>
      </c>
      <c r="J13" s="12">
        <v>31400</v>
      </c>
      <c r="K13" s="13">
        <v>0.19</v>
      </c>
      <c r="L13" s="12">
        <f t="shared" si="8"/>
        <v>5966</v>
      </c>
      <c r="M13" s="14">
        <f t="shared" si="9"/>
        <v>37366</v>
      </c>
      <c r="N13" s="12">
        <f>+M13*$D$13</f>
        <v>74732</v>
      </c>
      <c r="O13" s="12">
        <v>10000</v>
      </c>
      <c r="P13" s="13">
        <v>0.19</v>
      </c>
      <c r="Q13" s="12">
        <f t="shared" si="10"/>
        <v>1900</v>
      </c>
      <c r="R13" s="14">
        <f t="shared" si="11"/>
        <v>11900</v>
      </c>
      <c r="S13" s="12">
        <f>+R13*$D$13</f>
        <v>23800</v>
      </c>
      <c r="T13" s="12">
        <v>13000</v>
      </c>
      <c r="U13" s="13">
        <v>0.19</v>
      </c>
      <c r="V13" s="12">
        <f t="shared" si="12"/>
        <v>2470</v>
      </c>
      <c r="W13" s="14">
        <f t="shared" si="13"/>
        <v>15470</v>
      </c>
      <c r="X13" s="12">
        <f>+W13*$D$13</f>
        <v>30940</v>
      </c>
      <c r="Y13" s="14">
        <v>19000</v>
      </c>
      <c r="Z13" s="13">
        <v>0.19</v>
      </c>
      <c r="AA13" s="12">
        <f t="shared" si="0"/>
        <v>3610</v>
      </c>
      <c r="AB13" s="14">
        <f t="shared" si="14"/>
        <v>22610</v>
      </c>
      <c r="AC13" s="12">
        <f>+AB13*$D$13</f>
        <v>45220</v>
      </c>
      <c r="AD13" s="14">
        <f t="shared" si="15"/>
        <v>11900</v>
      </c>
      <c r="AE13" s="14">
        <f t="shared" si="1"/>
        <v>20515.599999999999</v>
      </c>
      <c r="AF13" s="15">
        <f t="shared" si="2"/>
        <v>18832.773169240867</v>
      </c>
      <c r="AG13" s="16">
        <f t="shared" si="16"/>
        <v>18832.773169240867</v>
      </c>
      <c r="AH13" s="8" t="str">
        <f t="shared" si="3"/>
        <v>MEDIA GEOMETRICA</v>
      </c>
      <c r="AI13" s="20">
        <f t="shared" si="4"/>
        <v>18832.773169240867</v>
      </c>
      <c r="AJ13" s="12">
        <f t="shared" si="17"/>
        <v>15825.859806084763</v>
      </c>
      <c r="AK13" s="13">
        <v>0.19</v>
      </c>
      <c r="AL13" s="12">
        <f t="shared" si="18"/>
        <v>3006.9133631561049</v>
      </c>
      <c r="AM13" s="16">
        <f t="shared" si="19"/>
        <v>18832.773169240867</v>
      </c>
      <c r="AN13" s="20">
        <f t="shared" si="5"/>
        <v>37665.546338481734</v>
      </c>
    </row>
    <row r="14" spans="1:40" ht="26.4" x14ac:dyDescent="0.3">
      <c r="A14" s="10">
        <v>8</v>
      </c>
      <c r="B14" s="17" t="s">
        <v>26</v>
      </c>
      <c r="C14" s="11" t="s">
        <v>18</v>
      </c>
      <c r="D14" s="3">
        <v>20</v>
      </c>
      <c r="E14" s="12">
        <v>169456</v>
      </c>
      <c r="F14" s="13">
        <v>0</v>
      </c>
      <c r="G14" s="12">
        <f t="shared" si="6"/>
        <v>0</v>
      </c>
      <c r="H14" s="14">
        <f t="shared" si="7"/>
        <v>169456</v>
      </c>
      <c r="I14" s="12">
        <f>+H14*$D$14</f>
        <v>3389120</v>
      </c>
      <c r="J14" s="12">
        <v>119000</v>
      </c>
      <c r="K14" s="13">
        <v>0.19</v>
      </c>
      <c r="L14" s="12">
        <f t="shared" si="8"/>
        <v>22610</v>
      </c>
      <c r="M14" s="14">
        <f t="shared" si="9"/>
        <v>141610</v>
      </c>
      <c r="N14" s="12">
        <f>+M14*$D$14</f>
        <v>2832200</v>
      </c>
      <c r="O14" s="12">
        <v>75000</v>
      </c>
      <c r="P14" s="13">
        <v>0.19</v>
      </c>
      <c r="Q14" s="12">
        <f t="shared" si="10"/>
        <v>14250</v>
      </c>
      <c r="R14" s="14">
        <f t="shared" si="11"/>
        <v>89250</v>
      </c>
      <c r="S14" s="12">
        <f>+R14*$D$14</f>
        <v>1785000</v>
      </c>
      <c r="T14" s="12">
        <v>76000</v>
      </c>
      <c r="U14" s="13">
        <v>0.19</v>
      </c>
      <c r="V14" s="12">
        <f t="shared" si="12"/>
        <v>14440</v>
      </c>
      <c r="W14" s="14">
        <f t="shared" si="13"/>
        <v>90440</v>
      </c>
      <c r="X14" s="12">
        <f>+W14*$D$14</f>
        <v>1808800</v>
      </c>
      <c r="Y14" s="14">
        <v>64000</v>
      </c>
      <c r="Z14" s="13">
        <v>0.19</v>
      </c>
      <c r="AA14" s="12">
        <f t="shared" si="0"/>
        <v>12160</v>
      </c>
      <c r="AB14" s="14">
        <f t="shared" si="14"/>
        <v>76160</v>
      </c>
      <c r="AC14" s="12">
        <f>+AB14*$D$14</f>
        <v>1523200</v>
      </c>
      <c r="AD14" s="14">
        <f t="shared" si="15"/>
        <v>76160</v>
      </c>
      <c r="AE14" s="14">
        <f t="shared" si="1"/>
        <v>113383.2</v>
      </c>
      <c r="AF14" s="15">
        <f t="shared" si="2"/>
        <v>108085.96826951699</v>
      </c>
      <c r="AG14" s="16">
        <f t="shared" si="16"/>
        <v>108085.96826951699</v>
      </c>
      <c r="AH14" s="8" t="str">
        <f t="shared" si="3"/>
        <v>MEDIA GEOMETRICA</v>
      </c>
      <c r="AI14" s="20">
        <f t="shared" si="4"/>
        <v>108085.96826951699</v>
      </c>
      <c r="AJ14" s="12">
        <f t="shared" si="17"/>
        <v>90828.544764299993</v>
      </c>
      <c r="AK14" s="13">
        <v>0.19</v>
      </c>
      <c r="AL14" s="12">
        <f t="shared" si="18"/>
        <v>17257.423505217001</v>
      </c>
      <c r="AM14" s="16">
        <f t="shared" si="19"/>
        <v>108085.96826951699</v>
      </c>
      <c r="AN14" s="20">
        <f t="shared" si="5"/>
        <v>2161719.3653903399</v>
      </c>
    </row>
    <row r="15" spans="1:40" ht="26.4" x14ac:dyDescent="0.3">
      <c r="A15" s="10">
        <v>9</v>
      </c>
      <c r="B15" s="17" t="s">
        <v>27</v>
      </c>
      <c r="C15" s="11" t="s">
        <v>18</v>
      </c>
      <c r="D15" s="3">
        <v>6</v>
      </c>
      <c r="E15" s="12">
        <v>36176</v>
      </c>
      <c r="F15" s="13">
        <v>0</v>
      </c>
      <c r="G15" s="12">
        <f t="shared" si="6"/>
        <v>0</v>
      </c>
      <c r="H15" s="14">
        <f t="shared" si="7"/>
        <v>36176</v>
      </c>
      <c r="I15" s="12">
        <f>+H15*$D$15</f>
        <v>217056</v>
      </c>
      <c r="J15" s="12">
        <v>43900</v>
      </c>
      <c r="K15" s="13">
        <v>0.19</v>
      </c>
      <c r="L15" s="12">
        <f t="shared" si="8"/>
        <v>8341</v>
      </c>
      <c r="M15" s="14">
        <f t="shared" si="9"/>
        <v>52241</v>
      </c>
      <c r="N15" s="12">
        <f>+M15*$D$15</f>
        <v>313446</v>
      </c>
      <c r="O15" s="12">
        <v>15000</v>
      </c>
      <c r="P15" s="13">
        <v>0.19</v>
      </c>
      <c r="Q15" s="12">
        <f t="shared" si="10"/>
        <v>2850</v>
      </c>
      <c r="R15" s="14">
        <f t="shared" si="11"/>
        <v>17850</v>
      </c>
      <c r="S15" s="12">
        <f>+R15*$D$15</f>
        <v>107100</v>
      </c>
      <c r="T15" s="12">
        <v>17000</v>
      </c>
      <c r="U15" s="13">
        <v>0.19</v>
      </c>
      <c r="V15" s="12">
        <f t="shared" si="12"/>
        <v>3230</v>
      </c>
      <c r="W15" s="14">
        <f t="shared" si="13"/>
        <v>20230</v>
      </c>
      <c r="X15" s="12">
        <f>+W15*$D$15</f>
        <v>121380</v>
      </c>
      <c r="Y15" s="14">
        <v>9800</v>
      </c>
      <c r="Z15" s="13">
        <v>0.19</v>
      </c>
      <c r="AA15" s="12">
        <f t="shared" si="0"/>
        <v>1862</v>
      </c>
      <c r="AB15" s="14">
        <f t="shared" si="14"/>
        <v>11662</v>
      </c>
      <c r="AC15" s="12">
        <f>+AB15*$D$15</f>
        <v>69972</v>
      </c>
      <c r="AD15" s="14">
        <f t="shared" si="15"/>
        <v>11662</v>
      </c>
      <c r="AE15" s="14">
        <f t="shared" si="1"/>
        <v>27631.8</v>
      </c>
      <c r="AF15" s="15">
        <f t="shared" si="2"/>
        <v>23997.601287266734</v>
      </c>
      <c r="AG15" s="16">
        <f t="shared" si="16"/>
        <v>23997.601287266734</v>
      </c>
      <c r="AH15" s="8" t="str">
        <f t="shared" si="3"/>
        <v>MEDIA GEOMETRICA</v>
      </c>
      <c r="AI15" s="20">
        <f t="shared" si="4"/>
        <v>23997.601287266734</v>
      </c>
      <c r="AJ15" s="12">
        <f t="shared" si="17"/>
        <v>20166.051501904818</v>
      </c>
      <c r="AK15" s="13">
        <v>0.19</v>
      </c>
      <c r="AL15" s="12">
        <f t="shared" si="18"/>
        <v>3831.5497853619154</v>
      </c>
      <c r="AM15" s="16">
        <f t="shared" si="19"/>
        <v>23997.601287266734</v>
      </c>
      <c r="AN15" s="20">
        <f t="shared" si="5"/>
        <v>143985.60772360041</v>
      </c>
    </row>
    <row r="16" spans="1:40" ht="25.5" customHeight="1" x14ac:dyDescent="0.3">
      <c r="A16" s="10">
        <v>10</v>
      </c>
      <c r="B16" s="17" t="s">
        <v>28</v>
      </c>
      <c r="C16" s="11" t="s">
        <v>18</v>
      </c>
      <c r="D16" s="3">
        <v>4</v>
      </c>
      <c r="E16" s="12">
        <v>226576</v>
      </c>
      <c r="F16" s="13">
        <v>0</v>
      </c>
      <c r="G16" s="12">
        <f t="shared" si="6"/>
        <v>0</v>
      </c>
      <c r="H16" s="14">
        <f t="shared" si="7"/>
        <v>226576</v>
      </c>
      <c r="I16" s="12">
        <f>+H16*$D$16</f>
        <v>906304</v>
      </c>
      <c r="J16" s="12">
        <v>118900</v>
      </c>
      <c r="K16" s="13">
        <v>0.19</v>
      </c>
      <c r="L16" s="12">
        <f t="shared" si="8"/>
        <v>22591</v>
      </c>
      <c r="M16" s="14">
        <f t="shared" si="9"/>
        <v>141491</v>
      </c>
      <c r="N16" s="12">
        <f>+M16*$D$16</f>
        <v>565964</v>
      </c>
      <c r="O16" s="12">
        <v>90000</v>
      </c>
      <c r="P16" s="13">
        <v>0.19</v>
      </c>
      <c r="Q16" s="12">
        <f t="shared" si="10"/>
        <v>17100</v>
      </c>
      <c r="R16" s="14">
        <f t="shared" si="11"/>
        <v>107100</v>
      </c>
      <c r="S16" s="12">
        <f>+R16*$D$16</f>
        <v>428400</v>
      </c>
      <c r="T16" s="12">
        <v>40000</v>
      </c>
      <c r="U16" s="13">
        <v>0.19</v>
      </c>
      <c r="V16" s="12">
        <f t="shared" si="12"/>
        <v>7600</v>
      </c>
      <c r="W16" s="14">
        <f t="shared" si="13"/>
        <v>47600</v>
      </c>
      <c r="X16" s="12">
        <f>+W16*$D$16</f>
        <v>190400</v>
      </c>
      <c r="Y16" s="14">
        <v>93000</v>
      </c>
      <c r="Z16" s="13">
        <v>0.19</v>
      </c>
      <c r="AA16" s="12">
        <f t="shared" si="0"/>
        <v>17670</v>
      </c>
      <c r="AB16" s="14">
        <f t="shared" si="14"/>
        <v>110670</v>
      </c>
      <c r="AC16" s="12">
        <f>+AB16*$D$16</f>
        <v>442680</v>
      </c>
      <c r="AD16" s="14">
        <f t="shared" si="15"/>
        <v>47600</v>
      </c>
      <c r="AE16" s="14">
        <f t="shared" si="1"/>
        <v>126687.4</v>
      </c>
      <c r="AF16" s="15">
        <f t="shared" si="2"/>
        <v>112583.25764150449</v>
      </c>
      <c r="AG16" s="16">
        <f t="shared" si="16"/>
        <v>112583.25764150449</v>
      </c>
      <c r="AH16" s="8" t="str">
        <f t="shared" si="3"/>
        <v>MEDIA GEOMETRICA</v>
      </c>
      <c r="AI16" s="20">
        <f t="shared" si="4"/>
        <v>112583.25764150449</v>
      </c>
      <c r="AJ16" s="12">
        <f t="shared" si="17"/>
        <v>94607.779530676053</v>
      </c>
      <c r="AK16" s="13">
        <v>0.19</v>
      </c>
      <c r="AL16" s="12">
        <f t="shared" si="18"/>
        <v>17975.478110828451</v>
      </c>
      <c r="AM16" s="16">
        <f t="shared" si="19"/>
        <v>112583.2576415045</v>
      </c>
      <c r="AN16" s="20">
        <f t="shared" si="5"/>
        <v>450333.03056601802</v>
      </c>
    </row>
    <row r="17" spans="1:40" ht="26.4" x14ac:dyDescent="0.3">
      <c r="A17" s="10">
        <v>11</v>
      </c>
      <c r="B17" s="17" t="s">
        <v>29</v>
      </c>
      <c r="C17" s="11" t="s">
        <v>18</v>
      </c>
      <c r="D17" s="3">
        <v>4</v>
      </c>
      <c r="E17" s="12">
        <v>378896</v>
      </c>
      <c r="F17" s="13">
        <v>0</v>
      </c>
      <c r="G17" s="12">
        <f t="shared" si="6"/>
        <v>0</v>
      </c>
      <c r="H17" s="14">
        <f t="shared" si="7"/>
        <v>378896</v>
      </c>
      <c r="I17" s="12">
        <f>+H17*$D$17</f>
        <v>1515584</v>
      </c>
      <c r="J17" s="12">
        <v>238000</v>
      </c>
      <c r="K17" s="13">
        <v>0.19</v>
      </c>
      <c r="L17" s="12">
        <f t="shared" si="8"/>
        <v>45220</v>
      </c>
      <c r="M17" s="14">
        <f t="shared" si="9"/>
        <v>283220</v>
      </c>
      <c r="N17" s="12">
        <f>+M17*$D$17</f>
        <v>1132880</v>
      </c>
      <c r="O17" s="12">
        <v>139900</v>
      </c>
      <c r="P17" s="13">
        <v>0.19</v>
      </c>
      <c r="Q17" s="12">
        <f t="shared" si="10"/>
        <v>26581</v>
      </c>
      <c r="R17" s="14">
        <f t="shared" si="11"/>
        <v>166481</v>
      </c>
      <c r="S17" s="12">
        <f>+R17*$D$17</f>
        <v>665924</v>
      </c>
      <c r="T17" s="12">
        <v>50000</v>
      </c>
      <c r="U17" s="13">
        <v>0.19</v>
      </c>
      <c r="V17" s="12">
        <f t="shared" si="12"/>
        <v>9500</v>
      </c>
      <c r="W17" s="14">
        <f t="shared" si="13"/>
        <v>59500</v>
      </c>
      <c r="X17" s="12">
        <f>+W17*$D$17</f>
        <v>238000</v>
      </c>
      <c r="Y17" s="14">
        <v>204050</v>
      </c>
      <c r="Z17" s="13">
        <v>0.19</v>
      </c>
      <c r="AA17" s="12">
        <f t="shared" si="0"/>
        <v>38769.5</v>
      </c>
      <c r="AB17" s="14">
        <f t="shared" si="14"/>
        <v>242819.5</v>
      </c>
      <c r="AC17" s="12">
        <f>+AB17*$D$17</f>
        <v>971278</v>
      </c>
      <c r="AD17" s="14">
        <f t="shared" si="15"/>
        <v>59500</v>
      </c>
      <c r="AE17" s="14">
        <f t="shared" si="1"/>
        <v>226183.3</v>
      </c>
      <c r="AF17" s="15">
        <f t="shared" si="2"/>
        <v>191585.14331907898</v>
      </c>
      <c r="AG17" s="16">
        <f t="shared" si="16"/>
        <v>191585.14331907898</v>
      </c>
      <c r="AH17" s="8" t="str">
        <f t="shared" si="3"/>
        <v>MEDIA GEOMETRICA</v>
      </c>
      <c r="AI17" s="20">
        <f t="shared" si="4"/>
        <v>191585.14331907898</v>
      </c>
      <c r="AJ17" s="12">
        <f t="shared" si="17"/>
        <v>160995.91875552858</v>
      </c>
      <c r="AK17" s="13">
        <v>0.19</v>
      </c>
      <c r="AL17" s="12">
        <f t="shared" si="18"/>
        <v>30589.22456355043</v>
      </c>
      <c r="AM17" s="16">
        <f t="shared" si="19"/>
        <v>191585.14331907901</v>
      </c>
      <c r="AN17" s="20">
        <f t="shared" si="5"/>
        <v>766340.57327631605</v>
      </c>
    </row>
    <row r="18" spans="1:40" x14ac:dyDescent="0.3">
      <c r="A18" s="10">
        <v>12</v>
      </c>
      <c r="B18" s="17" t="s">
        <v>30</v>
      </c>
      <c r="C18" s="11" t="s">
        <v>18</v>
      </c>
      <c r="D18" s="3">
        <v>8</v>
      </c>
      <c r="E18" s="12">
        <v>342720</v>
      </c>
      <c r="F18" s="13">
        <v>0</v>
      </c>
      <c r="G18" s="12">
        <f t="shared" si="6"/>
        <v>0</v>
      </c>
      <c r="H18" s="14">
        <f t="shared" si="7"/>
        <v>342720</v>
      </c>
      <c r="I18" s="12">
        <f>+H18*$D$18</f>
        <v>2741760</v>
      </c>
      <c r="J18" s="12">
        <v>225000</v>
      </c>
      <c r="K18" s="13">
        <v>0.19</v>
      </c>
      <c r="L18" s="12">
        <f t="shared" si="8"/>
        <v>42750</v>
      </c>
      <c r="M18" s="14">
        <f t="shared" si="9"/>
        <v>267750</v>
      </c>
      <c r="N18" s="12">
        <f>+M18*$D$18</f>
        <v>2142000</v>
      </c>
      <c r="O18" s="12">
        <v>170000</v>
      </c>
      <c r="P18" s="13">
        <v>0.19</v>
      </c>
      <c r="Q18" s="12">
        <f t="shared" si="10"/>
        <v>32300</v>
      </c>
      <c r="R18" s="14">
        <f t="shared" si="11"/>
        <v>202300</v>
      </c>
      <c r="S18" s="12">
        <f>+R18*$D$18</f>
        <v>1618400</v>
      </c>
      <c r="T18" s="12">
        <v>126000</v>
      </c>
      <c r="U18" s="13">
        <v>0.19</v>
      </c>
      <c r="V18" s="12">
        <f t="shared" si="12"/>
        <v>23940</v>
      </c>
      <c r="W18" s="14">
        <f t="shared" si="13"/>
        <v>149940</v>
      </c>
      <c r="X18" s="12">
        <f>+W18*$D$18</f>
        <v>1199520</v>
      </c>
      <c r="Y18" s="14">
        <v>148800</v>
      </c>
      <c r="Z18" s="13">
        <v>0.19</v>
      </c>
      <c r="AA18" s="12">
        <f t="shared" si="0"/>
        <v>28272</v>
      </c>
      <c r="AB18" s="14">
        <f t="shared" si="14"/>
        <v>177072</v>
      </c>
      <c r="AC18" s="12">
        <f>+AB18*$D$18</f>
        <v>1416576</v>
      </c>
      <c r="AD18" s="14">
        <f t="shared" si="15"/>
        <v>149940</v>
      </c>
      <c r="AE18" s="14">
        <f t="shared" si="1"/>
        <v>227956.4</v>
      </c>
      <c r="AF18" s="15">
        <f t="shared" si="2"/>
        <v>218045.15554601327</v>
      </c>
      <c r="AG18" s="16">
        <f t="shared" si="16"/>
        <v>218045.15554601327</v>
      </c>
      <c r="AH18" s="8" t="str">
        <f t="shared" si="3"/>
        <v>MEDIA GEOMETRICA</v>
      </c>
      <c r="AI18" s="20">
        <f t="shared" si="4"/>
        <v>218045.15554601327</v>
      </c>
      <c r="AJ18" s="12">
        <f t="shared" si="17"/>
        <v>183231.22314791032</v>
      </c>
      <c r="AK18" s="13">
        <v>0.19</v>
      </c>
      <c r="AL18" s="12">
        <f t="shared" si="18"/>
        <v>34813.932398102959</v>
      </c>
      <c r="AM18" s="16">
        <f t="shared" si="19"/>
        <v>218045.15554601327</v>
      </c>
      <c r="AN18" s="20">
        <f t="shared" si="5"/>
        <v>1744361.2443681061</v>
      </c>
    </row>
    <row r="19" spans="1:40" ht="26.4" x14ac:dyDescent="0.3">
      <c r="A19" s="10">
        <v>13</v>
      </c>
      <c r="B19" s="17" t="s">
        <v>31</v>
      </c>
      <c r="C19" s="11" t="s">
        <v>18</v>
      </c>
      <c r="D19" s="3">
        <v>10</v>
      </c>
      <c r="E19" s="12">
        <v>276080</v>
      </c>
      <c r="F19" s="13">
        <v>0</v>
      </c>
      <c r="G19" s="12">
        <f t="shared" si="6"/>
        <v>0</v>
      </c>
      <c r="H19" s="14">
        <f t="shared" si="7"/>
        <v>276080</v>
      </c>
      <c r="I19" s="12">
        <f>+H19*$D$19</f>
        <v>2760800</v>
      </c>
      <c r="J19" s="12">
        <v>213000</v>
      </c>
      <c r="K19" s="13">
        <v>0.19</v>
      </c>
      <c r="L19" s="12">
        <f t="shared" si="8"/>
        <v>40470</v>
      </c>
      <c r="M19" s="14">
        <f t="shared" si="9"/>
        <v>253470</v>
      </c>
      <c r="N19" s="12">
        <f>+M19*$D$19</f>
        <v>2534700</v>
      </c>
      <c r="O19" s="12">
        <v>126000</v>
      </c>
      <c r="P19" s="13">
        <v>0.19</v>
      </c>
      <c r="Q19" s="12">
        <f t="shared" si="10"/>
        <v>23940</v>
      </c>
      <c r="R19" s="14">
        <f t="shared" si="11"/>
        <v>149940</v>
      </c>
      <c r="S19" s="12">
        <f>+R19*$D$19</f>
        <v>1499400</v>
      </c>
      <c r="T19" s="12">
        <v>143000</v>
      </c>
      <c r="U19" s="13">
        <v>0.19</v>
      </c>
      <c r="V19" s="12">
        <f t="shared" si="12"/>
        <v>27170</v>
      </c>
      <c r="W19" s="14">
        <f t="shared" si="13"/>
        <v>170170</v>
      </c>
      <c r="X19" s="12">
        <f>+W19*$D$19</f>
        <v>1701700</v>
      </c>
      <c r="Y19" s="14">
        <v>131800</v>
      </c>
      <c r="Z19" s="13">
        <v>0.19</v>
      </c>
      <c r="AA19" s="12">
        <f t="shared" si="0"/>
        <v>25042</v>
      </c>
      <c r="AB19" s="14">
        <f t="shared" si="14"/>
        <v>156842</v>
      </c>
      <c r="AC19" s="12">
        <f>+AB19*$D$19</f>
        <v>1568420</v>
      </c>
      <c r="AD19" s="14">
        <f t="shared" si="15"/>
        <v>149940</v>
      </c>
      <c r="AE19" s="14">
        <f t="shared" si="1"/>
        <v>201300.4</v>
      </c>
      <c r="AF19" s="15">
        <f t="shared" si="2"/>
        <v>194735.38684007298</v>
      </c>
      <c r="AG19" s="16">
        <f t="shared" si="16"/>
        <v>194735.38684007298</v>
      </c>
      <c r="AH19" s="8" t="str">
        <f t="shared" si="3"/>
        <v>MEDIA GEOMETRICA</v>
      </c>
      <c r="AI19" s="20">
        <f t="shared" si="4"/>
        <v>194735.38684007298</v>
      </c>
      <c r="AJ19" s="12">
        <f t="shared" si="17"/>
        <v>163643.18221854873</v>
      </c>
      <c r="AK19" s="13">
        <v>0.19</v>
      </c>
      <c r="AL19" s="12">
        <f t="shared" si="18"/>
        <v>31092.204621524259</v>
      </c>
      <c r="AM19" s="16">
        <f t="shared" si="19"/>
        <v>194735.38684007298</v>
      </c>
      <c r="AN19" s="20">
        <f t="shared" si="5"/>
        <v>1947353.8684007297</v>
      </c>
    </row>
    <row r="20" spans="1:40" ht="39.6" x14ac:dyDescent="0.3">
      <c r="A20" s="10">
        <v>14</v>
      </c>
      <c r="B20" s="17" t="s">
        <v>32</v>
      </c>
      <c r="C20" s="11" t="s">
        <v>18</v>
      </c>
      <c r="D20" s="3">
        <v>4</v>
      </c>
      <c r="E20" s="12">
        <v>1180289.6000000001</v>
      </c>
      <c r="F20" s="13">
        <v>0</v>
      </c>
      <c r="G20" s="12">
        <f t="shared" si="6"/>
        <v>0</v>
      </c>
      <c r="H20" s="14">
        <f t="shared" si="7"/>
        <v>1180289.6000000001</v>
      </c>
      <c r="I20" s="12">
        <f>+H20*$D$20</f>
        <v>4721158.4000000004</v>
      </c>
      <c r="J20" s="12">
        <v>915000</v>
      </c>
      <c r="K20" s="13">
        <v>0.19</v>
      </c>
      <c r="L20" s="12">
        <f t="shared" si="8"/>
        <v>173850</v>
      </c>
      <c r="M20" s="14">
        <f t="shared" si="9"/>
        <v>1088850</v>
      </c>
      <c r="N20" s="12">
        <f>+M20*$D$20</f>
        <v>4355400</v>
      </c>
      <c r="O20" s="12">
        <v>550000</v>
      </c>
      <c r="P20" s="13">
        <v>0.19</v>
      </c>
      <c r="Q20" s="12">
        <f t="shared" si="10"/>
        <v>104500</v>
      </c>
      <c r="R20" s="14">
        <f t="shared" si="11"/>
        <v>654500</v>
      </c>
      <c r="S20" s="12">
        <f>+R20*$D$20</f>
        <v>2618000</v>
      </c>
      <c r="T20" s="12">
        <v>656000</v>
      </c>
      <c r="U20" s="13">
        <v>0.19</v>
      </c>
      <c r="V20" s="12">
        <f t="shared" si="12"/>
        <v>124640</v>
      </c>
      <c r="W20" s="14">
        <f t="shared" si="13"/>
        <v>780640</v>
      </c>
      <c r="X20" s="12">
        <f>+W20*$D$20</f>
        <v>3122560</v>
      </c>
      <c r="Y20" s="14">
        <v>960900</v>
      </c>
      <c r="Z20" s="13">
        <v>0.19</v>
      </c>
      <c r="AA20" s="12">
        <f t="shared" si="0"/>
        <v>182571</v>
      </c>
      <c r="AB20" s="14">
        <f t="shared" si="14"/>
        <v>1143471</v>
      </c>
      <c r="AC20" s="12">
        <f>+AB20*$D$20</f>
        <v>4573884</v>
      </c>
      <c r="AD20" s="14">
        <f t="shared" si="15"/>
        <v>654500</v>
      </c>
      <c r="AE20" s="14">
        <f t="shared" si="1"/>
        <v>969550.11999999988</v>
      </c>
      <c r="AF20" s="15">
        <f t="shared" si="2"/>
        <v>944296.64886561339</v>
      </c>
      <c r="AG20" s="16">
        <f t="shared" si="16"/>
        <v>944296.64886561339</v>
      </c>
      <c r="AH20" s="8" t="str">
        <f t="shared" si="3"/>
        <v>MEDIA GEOMETRICA</v>
      </c>
      <c r="AI20" s="20">
        <f t="shared" si="4"/>
        <v>944296.64886561339</v>
      </c>
      <c r="AJ20" s="12">
        <f t="shared" si="17"/>
        <v>793526.59568538947</v>
      </c>
      <c r="AK20" s="13">
        <v>0.19</v>
      </c>
      <c r="AL20" s="12">
        <f t="shared" si="18"/>
        <v>150770.053180224</v>
      </c>
      <c r="AM20" s="16">
        <f t="shared" si="19"/>
        <v>944296.6488656135</v>
      </c>
      <c r="AN20" s="20">
        <f t="shared" si="5"/>
        <v>3777186.595462454</v>
      </c>
    </row>
    <row r="21" spans="1:40" ht="26.4" x14ac:dyDescent="0.3">
      <c r="A21" s="10">
        <v>15</v>
      </c>
      <c r="B21" s="17" t="s">
        <v>33</v>
      </c>
      <c r="C21" s="11" t="s">
        <v>18</v>
      </c>
      <c r="D21" s="3">
        <v>5</v>
      </c>
      <c r="E21" s="12">
        <v>36176</v>
      </c>
      <c r="F21" s="13">
        <v>0</v>
      </c>
      <c r="G21" s="12">
        <f t="shared" si="6"/>
        <v>0</v>
      </c>
      <c r="H21" s="14">
        <f t="shared" si="7"/>
        <v>36176</v>
      </c>
      <c r="I21" s="12">
        <f>+H21*$D$21</f>
        <v>180880</v>
      </c>
      <c r="J21" s="12">
        <v>44000</v>
      </c>
      <c r="K21" s="13">
        <v>0.19</v>
      </c>
      <c r="L21" s="12">
        <f t="shared" si="8"/>
        <v>8360</v>
      </c>
      <c r="M21" s="14">
        <f t="shared" si="9"/>
        <v>52360</v>
      </c>
      <c r="N21" s="12">
        <f>+M21*$D$21</f>
        <v>261800</v>
      </c>
      <c r="O21" s="12">
        <v>32000</v>
      </c>
      <c r="P21" s="13">
        <v>0.19</v>
      </c>
      <c r="Q21" s="12">
        <f t="shared" si="10"/>
        <v>6080</v>
      </c>
      <c r="R21" s="14">
        <f t="shared" si="11"/>
        <v>38080</v>
      </c>
      <c r="S21" s="12">
        <f>+R21*$D$21</f>
        <v>190400</v>
      </c>
      <c r="T21" s="12">
        <v>22000</v>
      </c>
      <c r="U21" s="13">
        <v>0.19</v>
      </c>
      <c r="V21" s="12">
        <f t="shared" si="12"/>
        <v>4180</v>
      </c>
      <c r="W21" s="14">
        <f t="shared" si="13"/>
        <v>26180</v>
      </c>
      <c r="X21" s="12">
        <f>+W21*$D$21</f>
        <v>130900</v>
      </c>
      <c r="Y21" s="14">
        <v>15000</v>
      </c>
      <c r="Z21" s="13">
        <v>0.19</v>
      </c>
      <c r="AA21" s="12">
        <f t="shared" si="0"/>
        <v>2850</v>
      </c>
      <c r="AB21" s="14">
        <f t="shared" si="14"/>
        <v>17850</v>
      </c>
      <c r="AC21" s="12">
        <f>+AB21*$D$21</f>
        <v>89250</v>
      </c>
      <c r="AD21" s="14">
        <f t="shared" si="15"/>
        <v>17850</v>
      </c>
      <c r="AE21" s="14">
        <f t="shared" si="1"/>
        <v>34129.199999999997</v>
      </c>
      <c r="AF21" s="15">
        <f t="shared" si="2"/>
        <v>32029.119296667133</v>
      </c>
      <c r="AG21" s="16">
        <f t="shared" si="16"/>
        <v>32029.119296667133</v>
      </c>
      <c r="AH21" s="8" t="str">
        <f t="shared" si="3"/>
        <v>MEDIA GEOMETRICA</v>
      </c>
      <c r="AI21" s="20">
        <f t="shared" si="4"/>
        <v>32029.119296667133</v>
      </c>
      <c r="AJ21" s="12">
        <f t="shared" si="17"/>
        <v>26915.226299720282</v>
      </c>
      <c r="AK21" s="13">
        <v>0.19</v>
      </c>
      <c r="AL21" s="12">
        <f t="shared" si="18"/>
        <v>5113.8929969468536</v>
      </c>
      <c r="AM21" s="16">
        <f t="shared" si="19"/>
        <v>32029.119296667137</v>
      </c>
      <c r="AN21" s="20">
        <f t="shared" si="5"/>
        <v>160145.59648333568</v>
      </c>
    </row>
    <row r="22" spans="1:40" ht="26.4" x14ac:dyDescent="0.3">
      <c r="A22" s="10">
        <v>16</v>
      </c>
      <c r="B22" s="17" t="s">
        <v>34</v>
      </c>
      <c r="C22" s="11" t="s">
        <v>18</v>
      </c>
      <c r="D22" s="3">
        <v>4</v>
      </c>
      <c r="E22" s="12">
        <v>434112</v>
      </c>
      <c r="F22" s="13">
        <v>0</v>
      </c>
      <c r="G22" s="12">
        <f t="shared" si="6"/>
        <v>0</v>
      </c>
      <c r="H22" s="14">
        <f t="shared" si="7"/>
        <v>434112</v>
      </c>
      <c r="I22" s="12">
        <f>+H22*$D$22</f>
        <v>1736448</v>
      </c>
      <c r="J22" s="12">
        <v>225500</v>
      </c>
      <c r="K22" s="13">
        <v>0.19</v>
      </c>
      <c r="L22" s="12">
        <f t="shared" si="8"/>
        <v>42845</v>
      </c>
      <c r="M22" s="14">
        <f t="shared" si="9"/>
        <v>268345</v>
      </c>
      <c r="N22" s="12">
        <f>+M22*$D$22</f>
        <v>1073380</v>
      </c>
      <c r="O22" s="12">
        <v>175000</v>
      </c>
      <c r="P22" s="13">
        <v>0.19</v>
      </c>
      <c r="Q22" s="12">
        <f t="shared" si="10"/>
        <v>33250</v>
      </c>
      <c r="R22" s="14">
        <f t="shared" si="11"/>
        <v>208250</v>
      </c>
      <c r="S22" s="12">
        <f>+R22*$D$22</f>
        <v>833000</v>
      </c>
      <c r="T22" s="12">
        <v>160000</v>
      </c>
      <c r="U22" s="13">
        <v>0.19</v>
      </c>
      <c r="V22" s="12">
        <f t="shared" si="12"/>
        <v>30400</v>
      </c>
      <c r="W22" s="14">
        <f t="shared" si="13"/>
        <v>190400</v>
      </c>
      <c r="X22" s="12">
        <f>+W22*$D$22</f>
        <v>761600</v>
      </c>
      <c r="Y22" s="14">
        <v>148800</v>
      </c>
      <c r="Z22" s="13">
        <v>0.19</v>
      </c>
      <c r="AA22" s="12">
        <f t="shared" si="0"/>
        <v>28272</v>
      </c>
      <c r="AB22" s="14">
        <f t="shared" si="14"/>
        <v>177072</v>
      </c>
      <c r="AC22" s="12">
        <f>+AB22*$D$22</f>
        <v>708288</v>
      </c>
      <c r="AD22" s="14">
        <f t="shared" si="15"/>
        <v>177072</v>
      </c>
      <c r="AE22" s="14">
        <f t="shared" si="1"/>
        <v>255635.8</v>
      </c>
      <c r="AF22" s="15">
        <f t="shared" si="2"/>
        <v>241290.05870084508</v>
      </c>
      <c r="AG22" s="16">
        <f t="shared" si="16"/>
        <v>241290.05870084508</v>
      </c>
      <c r="AH22" s="8" t="str">
        <f t="shared" si="3"/>
        <v>MEDIA GEOMETRICA</v>
      </c>
      <c r="AI22" s="20">
        <f t="shared" si="4"/>
        <v>241290.05870084508</v>
      </c>
      <c r="AJ22" s="12">
        <f t="shared" si="17"/>
        <v>202764.75521079419</v>
      </c>
      <c r="AK22" s="13">
        <v>0.19</v>
      </c>
      <c r="AL22" s="12">
        <f t="shared" si="18"/>
        <v>38525.303490050894</v>
      </c>
      <c r="AM22" s="16">
        <f t="shared" si="19"/>
        <v>241290.05870084508</v>
      </c>
      <c r="AN22" s="20">
        <f t="shared" si="5"/>
        <v>965160.23480338033</v>
      </c>
    </row>
    <row r="23" spans="1:40" ht="26.4" x14ac:dyDescent="0.3">
      <c r="A23" s="10">
        <v>17</v>
      </c>
      <c r="B23" s="17" t="s">
        <v>35</v>
      </c>
      <c r="C23" s="11" t="s">
        <v>18</v>
      </c>
      <c r="D23" s="3">
        <v>3</v>
      </c>
      <c r="E23" s="12">
        <v>321776</v>
      </c>
      <c r="F23" s="13">
        <v>0</v>
      </c>
      <c r="G23" s="12">
        <f t="shared" si="6"/>
        <v>0</v>
      </c>
      <c r="H23" s="14">
        <f t="shared" si="7"/>
        <v>321776</v>
      </c>
      <c r="I23" s="12">
        <f>+H23*$D$23</f>
        <v>965328</v>
      </c>
      <c r="J23" s="12">
        <v>206600</v>
      </c>
      <c r="K23" s="13">
        <v>0.19</v>
      </c>
      <c r="L23" s="12">
        <f t="shared" si="8"/>
        <v>39254</v>
      </c>
      <c r="M23" s="14">
        <f t="shared" si="9"/>
        <v>245854</v>
      </c>
      <c r="N23" s="12">
        <f>+M23*$D$23</f>
        <v>737562</v>
      </c>
      <c r="O23" s="12">
        <v>193000</v>
      </c>
      <c r="P23" s="13">
        <v>0.19</v>
      </c>
      <c r="Q23" s="12">
        <f t="shared" si="10"/>
        <v>36670</v>
      </c>
      <c r="R23" s="14">
        <f t="shared" si="11"/>
        <v>229670</v>
      </c>
      <c r="S23" s="12">
        <f>+R23*$D$23</f>
        <v>689010</v>
      </c>
      <c r="T23" s="12">
        <v>126000</v>
      </c>
      <c r="U23" s="13">
        <v>0.19</v>
      </c>
      <c r="V23" s="12">
        <f t="shared" si="12"/>
        <v>23940</v>
      </c>
      <c r="W23" s="14">
        <f t="shared" si="13"/>
        <v>149940</v>
      </c>
      <c r="X23" s="12">
        <f>+W23*$D$23</f>
        <v>449820</v>
      </c>
      <c r="Y23" s="14">
        <v>96000</v>
      </c>
      <c r="Z23" s="13">
        <v>0.19</v>
      </c>
      <c r="AA23" s="12">
        <f t="shared" si="0"/>
        <v>18240</v>
      </c>
      <c r="AB23" s="14">
        <f t="shared" si="14"/>
        <v>114240</v>
      </c>
      <c r="AC23" s="12">
        <f>+AB23*$D$23</f>
        <v>342720</v>
      </c>
      <c r="AD23" s="14">
        <f t="shared" si="15"/>
        <v>114240</v>
      </c>
      <c r="AE23" s="14">
        <f t="shared" si="1"/>
        <v>212296</v>
      </c>
      <c r="AF23" s="15">
        <f t="shared" si="2"/>
        <v>198890.56418887945</v>
      </c>
      <c r="AG23" s="16">
        <f t="shared" si="16"/>
        <v>198890.56418887945</v>
      </c>
      <c r="AH23" s="8" t="str">
        <f t="shared" si="3"/>
        <v>MEDIA GEOMETRICA</v>
      </c>
      <c r="AI23" s="20">
        <f t="shared" si="4"/>
        <v>198890.56418887945</v>
      </c>
      <c r="AJ23" s="12">
        <f t="shared" si="17"/>
        <v>167134.92788981466</v>
      </c>
      <c r="AK23" s="13">
        <v>0.19</v>
      </c>
      <c r="AL23" s="12">
        <f t="shared" si="18"/>
        <v>31755.636299064787</v>
      </c>
      <c r="AM23" s="16">
        <f t="shared" si="19"/>
        <v>198890.56418887945</v>
      </c>
      <c r="AN23" s="20">
        <f t="shared" si="5"/>
        <v>596671.69256663835</v>
      </c>
    </row>
    <row r="24" spans="1:40" ht="26.4" x14ac:dyDescent="0.3">
      <c r="A24" s="10">
        <v>18</v>
      </c>
      <c r="B24" s="17" t="s">
        <v>36</v>
      </c>
      <c r="C24" s="11" t="s">
        <v>18</v>
      </c>
      <c r="D24" s="3">
        <v>3</v>
      </c>
      <c r="E24" s="12">
        <v>340816</v>
      </c>
      <c r="F24" s="13">
        <v>0</v>
      </c>
      <c r="G24" s="12">
        <f t="shared" ref="G24" si="20">+E24*F24</f>
        <v>0</v>
      </c>
      <c r="H24" s="14">
        <f t="shared" ref="H24" si="21">+E24+G24</f>
        <v>340816</v>
      </c>
      <c r="I24" s="12">
        <f>+H24*$D$24</f>
        <v>1022448</v>
      </c>
      <c r="J24" s="12">
        <v>381900</v>
      </c>
      <c r="K24" s="13">
        <v>0.19</v>
      </c>
      <c r="L24" s="12">
        <f t="shared" si="8"/>
        <v>72561</v>
      </c>
      <c r="M24" s="14">
        <f t="shared" si="9"/>
        <v>454461</v>
      </c>
      <c r="N24" s="12">
        <f>+M24*$D$24</f>
        <v>1363383</v>
      </c>
      <c r="O24" s="12">
        <v>515000</v>
      </c>
      <c r="P24" s="13">
        <v>0.19</v>
      </c>
      <c r="Q24" s="12">
        <f t="shared" si="10"/>
        <v>97850</v>
      </c>
      <c r="R24" s="14">
        <f t="shared" si="11"/>
        <v>612850</v>
      </c>
      <c r="S24" s="12">
        <f>+R24*$D$24</f>
        <v>1838550</v>
      </c>
      <c r="T24" s="12">
        <v>252000</v>
      </c>
      <c r="U24" s="13">
        <v>0.19</v>
      </c>
      <c r="V24" s="12">
        <f t="shared" si="12"/>
        <v>47880</v>
      </c>
      <c r="W24" s="14">
        <f t="shared" si="13"/>
        <v>299880</v>
      </c>
      <c r="X24" s="12">
        <f>+W24*$D$24</f>
        <v>899640</v>
      </c>
      <c r="Y24" s="14">
        <v>247600</v>
      </c>
      <c r="Z24" s="13">
        <v>0.19</v>
      </c>
      <c r="AA24" s="12">
        <f t="shared" si="0"/>
        <v>47044</v>
      </c>
      <c r="AB24" s="14">
        <f t="shared" si="14"/>
        <v>294644</v>
      </c>
      <c r="AC24" s="12">
        <f>+AB24*$D$24</f>
        <v>883932</v>
      </c>
      <c r="AD24" s="14">
        <f t="shared" si="15"/>
        <v>294644</v>
      </c>
      <c r="AE24" s="14">
        <f t="shared" si="1"/>
        <v>400530.2</v>
      </c>
      <c r="AF24" s="15">
        <f t="shared" si="2"/>
        <v>384346.71881383151</v>
      </c>
      <c r="AG24" s="16">
        <f t="shared" si="16"/>
        <v>384346.71881383151</v>
      </c>
      <c r="AH24" s="8" t="str">
        <f t="shared" si="3"/>
        <v>MEDIA GEOMETRICA</v>
      </c>
      <c r="AI24" s="20">
        <f t="shared" si="4"/>
        <v>384346.71881383151</v>
      </c>
      <c r="AJ24" s="12">
        <f t="shared" si="17"/>
        <v>322980.43597800971</v>
      </c>
      <c r="AK24" s="13">
        <v>0.19</v>
      </c>
      <c r="AL24" s="12">
        <f t="shared" si="18"/>
        <v>61366.282835821847</v>
      </c>
      <c r="AM24" s="16">
        <f t="shared" si="19"/>
        <v>384346.71881383157</v>
      </c>
      <c r="AN24" s="20">
        <f t="shared" si="5"/>
        <v>1153040.1564414948</v>
      </c>
    </row>
    <row r="26" spans="1:40" x14ac:dyDescent="0.3">
      <c r="I26" s="18"/>
      <c r="N26" s="18"/>
      <c r="S26" s="18"/>
      <c r="X26" s="18"/>
      <c r="AC26" s="18"/>
      <c r="AJ26" s="19"/>
      <c r="AL26" s="19"/>
      <c r="AN26" s="21">
        <f>SUM(AN7:AN25)</f>
        <v>19988372.61963756</v>
      </c>
    </row>
    <row r="27" spans="1:40" x14ac:dyDescent="0.3">
      <c r="AC27" s="18"/>
    </row>
    <row r="28" spans="1:40" x14ac:dyDescent="0.3">
      <c r="AC28" s="18"/>
    </row>
  </sheetData>
  <mergeCells count="7">
    <mergeCell ref="AI4:AN4"/>
    <mergeCell ref="AD4:AH4"/>
    <mergeCell ref="E4:I4"/>
    <mergeCell ref="J4:N4"/>
    <mergeCell ref="Y4:AC4"/>
    <mergeCell ref="O4:S4"/>
    <mergeCell ref="T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NATALIA CONTRERAS JIMENEZ</dc:creator>
  <cp:lastModifiedBy>Nicolas Castro</cp:lastModifiedBy>
  <dcterms:created xsi:type="dcterms:W3CDTF">2024-02-15T22:35:54Z</dcterms:created>
  <dcterms:modified xsi:type="dcterms:W3CDTF">2026-04-20T17:21:09Z</dcterms:modified>
</cp:coreProperties>
</file>
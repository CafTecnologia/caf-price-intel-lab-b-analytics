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8_{798051CF-8815-44EF-8F4E-30B95FA539B8}" xr6:coauthVersionLast="47" xr6:coauthVersionMax="47" xr10:uidLastSave="{00000000-0000-0000-0000-000000000000}"/>
  <bookViews>
    <workbookView xWindow="-120" yWindow="-120" windowWidth="20730" windowHeight="11160" xr2:uid="{EE04219C-7DCE-4A13-9A93-E37F22293F11}"/>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 i="1" l="1"/>
  <c r="N29" i="1"/>
  <c r="S29" i="1" s="1"/>
  <c r="G29" i="1"/>
  <c r="J29" i="1" s="1"/>
  <c r="O28" i="1"/>
  <c r="N28" i="1"/>
  <c r="G28" i="1"/>
  <c r="J28" i="1" s="1"/>
  <c r="O27" i="1"/>
  <c r="N27" i="1"/>
  <c r="G27" i="1"/>
  <c r="M27" i="1" s="1"/>
  <c r="O26" i="1"/>
  <c r="N26" i="1"/>
  <c r="G26" i="1"/>
  <c r="J26" i="1" s="1"/>
  <c r="O25" i="1"/>
  <c r="N25" i="1"/>
  <c r="G25" i="1"/>
  <c r="M25" i="1" s="1"/>
  <c r="O24" i="1"/>
  <c r="N24" i="1"/>
  <c r="G24" i="1"/>
  <c r="O23" i="1"/>
  <c r="N23" i="1"/>
  <c r="G23" i="1"/>
  <c r="J23" i="1" s="1"/>
  <c r="O22" i="1"/>
  <c r="N22" i="1"/>
  <c r="G22" i="1"/>
  <c r="J22" i="1" s="1"/>
  <c r="O21" i="1"/>
  <c r="N21" i="1"/>
  <c r="G21" i="1"/>
  <c r="M21" i="1" s="1"/>
  <c r="O20" i="1"/>
  <c r="N20" i="1"/>
  <c r="G20" i="1"/>
  <c r="O19" i="1"/>
  <c r="N19" i="1"/>
  <c r="G19" i="1"/>
  <c r="M19" i="1" s="1"/>
  <c r="O18" i="1"/>
  <c r="N18" i="1"/>
  <c r="G18" i="1"/>
  <c r="J18" i="1" s="1"/>
  <c r="O17" i="1"/>
  <c r="N17" i="1"/>
  <c r="G17" i="1"/>
  <c r="M17" i="1" s="1"/>
  <c r="O16" i="1"/>
  <c r="N16" i="1"/>
  <c r="G16" i="1"/>
  <c r="J16" i="1" s="1"/>
  <c r="O15" i="1"/>
  <c r="N15" i="1"/>
  <c r="G15" i="1"/>
  <c r="M15" i="1" s="1"/>
  <c r="O14" i="1"/>
  <c r="N14" i="1"/>
  <c r="G14" i="1"/>
  <c r="J14" i="1" s="1"/>
  <c r="O13" i="1"/>
  <c r="N13" i="1"/>
  <c r="G13" i="1"/>
  <c r="M13" i="1" s="1"/>
  <c r="O12" i="1"/>
  <c r="N12" i="1"/>
  <c r="G12" i="1"/>
  <c r="J12" i="1" s="1"/>
  <c r="O11" i="1"/>
  <c r="N11" i="1"/>
  <c r="Q11" i="1" s="1"/>
  <c r="G11" i="1"/>
  <c r="M11" i="1" s="1"/>
  <c r="O10" i="1"/>
  <c r="N10" i="1"/>
  <c r="G10" i="1"/>
  <c r="O9" i="1"/>
  <c r="N9" i="1"/>
  <c r="G9" i="1"/>
  <c r="M9" i="1" s="1"/>
  <c r="O8" i="1"/>
  <c r="N8" i="1"/>
  <c r="G8" i="1"/>
  <c r="J8" i="1" s="1"/>
  <c r="J9" i="1" l="1"/>
  <c r="P9" i="1" s="1"/>
  <c r="R27" i="1"/>
  <c r="R18" i="1"/>
  <c r="J17" i="1"/>
  <c r="P17" i="1" s="1"/>
  <c r="S25" i="1"/>
  <c r="S10" i="1"/>
  <c r="J27" i="1"/>
  <c r="P27" i="1" s="1"/>
  <c r="R9" i="1"/>
  <c r="S12" i="1"/>
  <c r="J15" i="1"/>
  <c r="Q20" i="1"/>
  <c r="J21" i="1"/>
  <c r="P21" i="1" s="1"/>
  <c r="M22" i="1"/>
  <c r="M23" i="1"/>
  <c r="P23" i="1" s="1"/>
  <c r="R24" i="1"/>
  <c r="Q15" i="1"/>
  <c r="J11" i="1"/>
  <c r="M12" i="1"/>
  <c r="S13" i="1"/>
  <c r="S14" i="1"/>
  <c r="S20" i="1"/>
  <c r="S22" i="1"/>
  <c r="R26" i="1"/>
  <c r="S28" i="1"/>
  <c r="Q28" i="1"/>
  <c r="M8" i="1"/>
  <c r="P8" i="1" s="1"/>
  <c r="R12" i="1"/>
  <c r="J13" i="1"/>
  <c r="P13" i="1" s="1"/>
  <c r="R14" i="1"/>
  <c r="M16" i="1"/>
  <c r="P16" i="1" s="1"/>
  <c r="J19" i="1"/>
  <c r="P19" i="1" s="1"/>
  <c r="P22" i="1"/>
  <c r="Q22" i="1"/>
  <c r="Q23" i="1"/>
  <c r="S24" i="1"/>
  <c r="S26" i="1"/>
  <c r="M28" i="1"/>
  <c r="P28" i="1" s="1"/>
  <c r="Q8" i="1"/>
  <c r="R16" i="1"/>
  <c r="Q26" i="1"/>
  <c r="P15" i="1"/>
  <c r="Q16" i="1"/>
  <c r="R8" i="1"/>
  <c r="S8" i="1"/>
  <c r="P12" i="1"/>
  <c r="Q12" i="1"/>
  <c r="S16" i="1"/>
  <c r="S17" i="1"/>
  <c r="S18" i="1"/>
  <c r="Q19" i="1"/>
  <c r="R20" i="1"/>
  <c r="S21" i="1"/>
  <c r="R22" i="1"/>
  <c r="Q24" i="1"/>
  <c r="J25" i="1"/>
  <c r="P25" i="1" s="1"/>
  <c r="M26" i="1"/>
  <c r="P26" i="1" s="1"/>
  <c r="J10" i="1"/>
  <c r="Q10" i="1"/>
  <c r="M10" i="1"/>
  <c r="R10" i="1"/>
  <c r="P11" i="1"/>
  <c r="S9" i="1"/>
  <c r="Q9" i="1"/>
  <c r="R13" i="1"/>
  <c r="R17" i="1"/>
  <c r="R11" i="1"/>
  <c r="M14" i="1"/>
  <c r="P14" i="1" s="1"/>
  <c r="Q14" i="1"/>
  <c r="R15" i="1"/>
  <c r="M18" i="1"/>
  <c r="P18" i="1" s="1"/>
  <c r="Q18" i="1"/>
  <c r="R19" i="1"/>
  <c r="R23" i="1"/>
  <c r="S11" i="1"/>
  <c r="Q13" i="1"/>
  <c r="S15" i="1"/>
  <c r="Q17" i="1"/>
  <c r="S19" i="1"/>
  <c r="J20" i="1"/>
  <c r="Q21" i="1"/>
  <c r="S23" i="1"/>
  <c r="J24" i="1"/>
  <c r="Q25" i="1"/>
  <c r="S27" i="1"/>
  <c r="M29" i="1"/>
  <c r="P29" i="1" s="1"/>
  <c r="Q29" i="1"/>
  <c r="R29" i="1"/>
  <c r="M20" i="1"/>
  <c r="R21" i="1"/>
  <c r="M24" i="1"/>
  <c r="R25" i="1"/>
  <c r="Q27" i="1"/>
  <c r="R28" i="1"/>
  <c r="Q31" i="1" l="1"/>
  <c r="P10" i="1"/>
  <c r="Q30" i="1"/>
  <c r="P20" i="1"/>
  <c r="P24" i="1"/>
  <c r="Q32" i="1" l="1"/>
</calcChain>
</file>

<file path=xl/sharedStrings.xml><?xml version="1.0" encoding="utf-8"?>
<sst xmlns="http://schemas.openxmlformats.org/spreadsheetml/2006/main" count="75" uniqueCount="67">
  <si>
    <t xml:space="preserve">ANEXO 3 ESTUDIO DE MERCADO </t>
  </si>
  <si>
    <t>DATOS PARA PLIEGO ELECTRONICO</t>
  </si>
  <si>
    <t>REGIONAL CUNDINAMARCA</t>
  </si>
  <si>
    <t>25_9509_101 Compraventa de materiales de formación para la red de conocimiento Informática diseño y desarrollo de software en el marco del programa de formación del CDAE- Regional Cundinamarca</t>
  </si>
  <si>
    <t>SERVICIO NACIONAL DE APRENDIZAJE SENA</t>
  </si>
  <si>
    <t>DESCRIPCION</t>
  </si>
  <si>
    <t>COTIZACIÓN 1: DOTAEXPORT</t>
  </si>
  <si>
    <t>COTIZACIÓN 2: MUNDIAL DE SUMINISTROS SAS</t>
  </si>
  <si>
    <t>PROMEDIO</t>
  </si>
  <si>
    <t>VALOR TOTAL ANTES DE IVA</t>
  </si>
  <si>
    <t>VALOR DE IVA</t>
  </si>
  <si>
    <t xml:space="preserve">VALOR UNITARIO INLUIDO IVA </t>
  </si>
  <si>
    <t>ITEM</t>
  </si>
  <si>
    <t>CODIGO UNSPSC</t>
  </si>
  <si>
    <t>PRODUCTO</t>
  </si>
  <si>
    <t xml:space="preserve">DESCRIPCION </t>
  </si>
  <si>
    <t xml:space="preserve">REGULAR </t>
  </si>
  <si>
    <t xml:space="preserve">ARTICULACION </t>
  </si>
  <si>
    <t>CANTIDAD TOTAL</t>
  </si>
  <si>
    <t>VALOR UNITARIO ANTES DE IVA</t>
  </si>
  <si>
    <t>%IVA</t>
  </si>
  <si>
    <t>BROCHA 2 ''</t>
  </si>
  <si>
    <t>Mango: Plastico o Madera . Dimensiones Filamentos: Ancho (A): Min 12.7 mm Max.
152.4 mm Min ½” Max. 6” Espesor (B) : Min 6.35 mm Max. 19.0.5 mm Min ¼” Max.
¾”” Largo Cerda (C): Min 44.4 mm Max. 69.85 mm Min 1 ¾” Max. 2 ¾”.</t>
  </si>
  <si>
    <t>ESPUMA LIMPIADORA</t>
  </si>
  <si>
    <t>Características: Tensión Superficial 20ºC: máximo73Dinas/cm Tiempo de secado: máximo 5 minutos
Punto de ebullición: mayor a 40°C Densidad: mínimo 0.5 gr/cc Para los casos de envases metálicos a presión debe cumplir con los requisitos y ensayos a los que debe someterse establecidos en la NTC 1258. Envase Individual  16 onz</t>
  </si>
  <si>
    <t>Limpiador De Contactos Electrónico</t>
  </si>
  <si>
    <t>Color Sin color Punto de inflamación 71° C Límite de inflamación LEL 0,6% x Vol. Límite de inflamación UEL 20,4% x Vol. Rigidez Dieléctrica 45,1 kV Punto de ebullición -18 - 232 ° C Presión de vapor 0,06 -1,11 mm. Hg. Densidad de vapor &gt;5 (Aire = 1) Velocidad de evaporación &lt; 0,1. Envase Individual  16 onz</t>
  </si>
  <si>
    <t>LIMPIADOR DE PANTALLAS</t>
  </si>
  <si>
    <t>Características: Tensión Superficial 20ºC: máximo73Dinas/cm Tiempo de secado: máximo 5 minutos Punto de ebullición: mayor a 40°C Densidad: mínimo 0.5 gr/cc Para los casos de envases metálicos a presión debe cumplir con los requisitos y ensayos a los que debe someterse establecidos en la NTC 1258. Envase Individual  16 onz</t>
  </si>
  <si>
    <t>PASTA TÉRMICA DISIPADORA DE CALOR PARA PROCESADORES</t>
  </si>
  <si>
    <t>Alta conductividad, sangrado bajo, estable a altas temperaturas.
Tipo: fluido de silicona con 20% de óxido de metal.
Conductividad térmica: &amp; gt0.65 W/m-k.
Resistencia térmica: &amp; gt0.262 C-in2/w.
Ruptura dieléctrica: &amp; gt5.0 KV CA. Tubo Individual x 20 gr</t>
  </si>
  <si>
    <t>SILICONA LIQUIDA</t>
  </si>
  <si>
    <t>Capacidad: mín. 280 ml Tiempo de trabajabilidad: mín. 5 – 15 min Tiempo de formación de piel: 5 min. en adelante Tiempo de curado: 24 h en adelante Temperatura de aplicación: 38 °C a 60 °C Temperatura del servicio después del curado: 60 °C a 200 °C. Envase Individual por 16 onz</t>
  </si>
  <si>
    <t>CABLE UTP 5e</t>
  </si>
  <si>
    <t>El diámetro externo máximo del cable es de 8.2 mm. Rollo x 305 mts
El cable contiene 4 pares de cable de cobre trenzado, al igual que estándares de cables de cobre. Aunque la categoría 6 está a veces hecha con cable 23 AWG, esto no es un requerimiento; la especificación ANSI/TIA-568-B. Aclara que el cable puede estar hecho entre 22 y 24 AWG, mientras que el cable cumpla todos los estándares de testeo indicados.
Su uso es para conexión de equipos de computación en redes de datos. Categorías propias de redes de datos computacionales:
Categoría 5: hasta 100 Mhz
A mayor tirantez mayor capacidad de transmisión de datos.
Debe poseer un separador central, entre los cuatro pares que genere espaciamiento entre los pares y prevenga las perdidas por Alien Crosstalk. Además debe operar en un sistema de transmisión full duplex y transmisión bi- direccional simultánea.
Resistencia DC 8.2 ohm por 100m
Desbalance resistencia DC 2 %.
Capacitancia Mutua 5.6 nf/100m at 1kHz m
Desbalance de capacitancia &lt; 160 pF/100
El cable debe cumplir mínimo con los siguientes rangos de temperatura: Para la instalación entre 0 ºC y +50 ºC y para operación entre – 20 ºC y +75 ºC.
Debe soportar los dos mapas de cableado T568A y T568B los cuales deben estar identificados en un lugar visible del conector.</t>
  </si>
  <si>
    <t>CABLE UTP 6</t>
  </si>
  <si>
    <t>El diámetro externo máximo del cable es de 8.2 mm.  Rollo x 305 mts
El cable contiene 4 pares de cable de cobre trenzado, al igual que estándares de cables de cobre. Aunque la categoría 6 está a veces hecha con cable 23 AWG, esto no es un requerimiento; la especificación ANSI/TIA-568-B. Aclara que el cable puede estar hecho entre 22 y 24 AWG, mientras que el cable cumpla todos los estándares de testeo indicados.
Su uso es para conexión de equipos de computación en redes de datos. Categorías propias de redes de datos computacionales:
Categoría 5: hasta 100 Mhz
A mayor tirantez mayor capacidad de transmisión de datos.
Debe poseer un separador central, entre los cuatro pares que genere espaciamiento entre los pares y prevenga las perdidas por Alien Crosstalk. Además debe operar en un sistema de transmisión full duplex y transmisión bi- direccional simultánea.
Resistencia DC 8.2 ohm por 100m
Desbalance resistencia DC 2 %.
1kHz m
Desbalance de capacitancia &lt; 160 pF/100
El cable debe cumplir mínimo con los siguientes rangos de temperatura: Para la instalación entre 0 ºC y +50 ºC y para operación entre – 20 ºC y +75 ºC.</t>
  </si>
  <si>
    <t>CONECTOR DE TELECOMUNICACIONES (RJ45 CAT 5E)</t>
  </si>
  <si>
    <t>Tipos de conectores: RJ45 Clasificación IP: IP 20 Número de posiciones mínimas: 8 pines o contactos Estilo de terminación: IDC. Apantallamiento: blindado y no blindado Capacitancia Mutua 5.6 nf/100m at 1kHz m
Desbalance de capacitancia &lt; 160 pF/100. Bolsa x 100</t>
  </si>
  <si>
    <t>CONECTOR TELECOMUNICACIONES (RJ45 CAT 6A)</t>
  </si>
  <si>
    <t>CORTADOR DE CABLE O ALAMBRE</t>
  </si>
  <si>
    <t>Mango antideslizante
Corte de alambre en general</t>
  </si>
  <si>
    <t>Crimpeadora RJ-45</t>
  </si>
  <si>
    <t>Ponchador 6 líneas para línea telefónica,8 líneas para terminales RJ-45 Ethernet y 4 líneas RJ-11 líneas telefónicas.</t>
  </si>
  <si>
    <t>FLEXÓMETRO DECÁMETRO</t>
  </si>
  <si>
    <t>El producto deberá cumplir con la Normatividad técnica vigente para herramientas manuales NTC 1724 – Metrología. Cintas Métricas comerciales. MATERIAL Las cintas 1 Las cintas de fibra de vidrio y material sintético deben tener una resistencia a la tracción mínima de 1 500 N/mm Las cintas de material sintético deben tener en sus bordes un orillo, para evitar que el tejido se deshilache y estar revestidas en toda su longitud con un recubrimiento resistente a la humedad. ANCHO El ancho de la cinta debe ser mínimo de 5 mm. ESPESOR El espesor de las cintas de gran longitud y corta longitud manufacturadas en acero debeser:0,2 mm ± 0,03 mm, para cintas sin recubrimientos plásticos.0,5 mm máximo, para cintas con recubrimientos plásticos y sintéticos. El espesor de las cintas de gran longitud y corta longitud manufacturadas en material sintético no debe ser mayor a 0,5 mm. DESVIACIÓN La máxima desviación permitida en la rectitud</t>
  </si>
  <si>
    <t>Herramienta de Pouchdown - Ponchadora de impacto</t>
  </si>
  <si>
    <t>Fuerza de impacto regulable (Alto/Bajo). Inserta y corta las terminaciones. Largo: 171 mm. Tolerancia 3 mm
Peso: 140 g.
Hoja: acero de carbono</t>
  </si>
  <si>
    <t>JACK CONECTOR DE TELECOMUNICACIONES CAT 5e</t>
  </si>
  <si>
    <t xml:space="preserve">Tipos de conectores: RJ45 Clasificación IP: IP 20 Número de posiciones mínimas: 8 pines o contactos Estilo de terminación: IDC. Apantallamiento: blindado y no blindado Capacitancia Mutua 5.6 nf/100m at 1kHz m
Desbalance de capacitancia &lt; 160 pF/100
Tipos de conectores: RJ45 Clasificación IP: IP 20 Número de posiciones mínimas: 8 pines o contactos Estilo de terminación: IDC. Apantallamiento: blindado y no blindado. </t>
  </si>
  <si>
    <t>JACK CONECTOR DE TELECOMUNICACIONES CAT 6A</t>
  </si>
  <si>
    <t>Tipos de conectores: RJ45 Clasificación IP: IP 20 Número de posiciones mínimas: 8 pines o contactos Estilo de terminación: IDC. Apantallamiento: blindado y no blindado Capacitancia Mutua 5.6 nf/100m at 1kHz m
Desbalance de capacitancia &lt; 160 pF/100
Tipos de conectores: RJ45 Clasificación IP: IP 20 Número de posiciones mínimas: 8 pines o contactos Estilo de terminación: IDC. Apantallamiento: blindado y no blindado.</t>
  </si>
  <si>
    <t>MANILLAS ANTI ESTATICAS</t>
  </si>
  <si>
    <t>Resistencia de 1 - 1,2 Ohm. 1/4 w. Largo de cable: 1 m.
Largo de caimán: 5 cm. Peso de la pulsera: 50,2 g..
Banda elástica de 25 cm de largo y 18 mm de ancho.</t>
  </si>
  <si>
    <t>MULTITOMA X 6 TOMAS</t>
  </si>
  <si>
    <t>Debe cumplir con los requisitos y ensayos específicos establecidos en la NTC 1650 y Resolución 90708 de 2013 y las normas que la reemplacen, modifiquen o complementen.
Resistencia del aislamiento: mín. 5 megaohmio. Corriente de cada tomacorriente: mín. 15 A. Tensión nominal: min. 110 VCA
Número de puntos de conexión: mín 6 Longitud del cable: mín. 0,90 m.</t>
  </si>
  <si>
    <t>PROBADOR DE RED</t>
  </si>
  <si>
    <t>Conexiones RJ45, RJ12, RJ11
Tester para red LAN RJ45 Hembra hembra control de conexión pin por pin Posee luces led que informan el estado del cable</t>
  </si>
  <si>
    <t>PROTECTOR DE CABLES RJ-45 (Protector de redes)</t>
  </si>
  <si>
    <t xml:space="preserve">
Norma UL 666 Plástico flexible
Humedad desde 5 al 90% Temperatura: -10 – 75°C Dimensión: 9 mm x 12 mm x 26 mm. Bolsa x 100</t>
  </si>
  <si>
    <t>TELA BAYETILLA BLANCA</t>
  </si>
  <si>
    <t>Fibra textil de algodón utilizada para la limpieza de diferentes tipos de superficies. Algodón 100% Colores blanco Fileteada.</t>
  </si>
  <si>
    <t>MULTÍMETRO</t>
  </si>
  <si>
    <t>Debe permitir mediciones en Voltios en corriente continua con mínimo los siguientes rangos y resolución respectiva: 50,000 mV, 500,00 mV, 5,0000 V y 50,000 V, con exactitud máxima de 0,025%.
Debe permitir mediciones en Voltios en corriente alterna con mínimo los siguientes rangos y resolución respectiva: 500,00 V y 1000,0 V con exactitud máxima de 0,4% de valor eficaz.
Debe permitir mediciones en Corriente de corriente continua con mínimo los siguientes rangos y resolución respectiva: 500,00 µA, 5000,0 µA, 50,000 mA y 400,00 mA con exactitud máxima de 0,15%.
Debe permitir mediciones en Corriente de Corriente Alterna con mínimo los siguientes rangos y resolución respectiva: 5,0000 A y 10,000 A con exactitud máxima de 0,7% de valor eficaz.
Debe permitir mediciones en Resistencia con mínimo los siguientes rangos y resolución respectiva: 50,000, 500,00, 5,0000 k, 50,000 k, 500,00 k, 5,0000 M, 50,00 M y 500,0 M con exactitud máxima de 0,05%.
Debe permitir mediciones en Capacitancia con mínimo los siguientes rangos y resolución respectiva: 1,000 nF, 10,00 nF, 100,0 nF, 1,000 µF, 10,00 µF, 100,0µF,
1000 µF, 10,00 mF y 100,0 mF con exactitud máxima de 1,0%.
Debe permitir mediciones en Frecuencia con mínimo los siguientes rangos y resolución respectiva: 99,999 Hz, 999,99 Hz, 9,999 kHz, 99,999KHz, y 999,99 kHz con exactitud máxima de 0,005%.</t>
  </si>
  <si>
    <t>SUBTOTAL</t>
  </si>
  <si>
    <t>IVA</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</si>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</sst>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_-;\-&quot;$&quot;\ * #,##0_-;_-&quot;$&quot;\ * &quot;-&quot;_-;_-@_-"/>
    <numFmt numFmtId="165" formatCode="_-&quot;$&quot;\ * #,##0.00_-;\-&quot;$&quot;\ * #,##0.00_-;_-&quot;$&quot;\ * &quot;-&quot;??_-;_-@_-"/>
    <numFmt numFmtId="166" formatCode="&quot;$&quot;\ #,##0"/>
  </numFmts>
  <fonts count="14">
    <font>
      <sz val="11"/>
      <color theme="1"/>
      <name val="Calibri"/>
      <family val="2"/>
      <scheme val="minor"/>
    </font>
    <font>
      <sz val="11"/>
      <color theme="1"/>
      <name val="Calibri"/>
      <family val="2"/>
      <scheme val="minor"/>
    </font>
    <font>
      <sz val="8"/>
      <name val="Tahoma"/>
      <family val="2"/>
    </font>
    <font>
      <sz val="8"/>
      <color theme="0"/>
      <name val="Tahoma"/>
      <family val="2"/>
    </font>
    <font>
      <b/>
      <sz val="8"/>
      <color theme="0"/>
      <name val="Tahoma"/>
      <family val="2"/>
    </font>
    <font>
      <sz val="8"/>
      <color theme="1"/>
      <name val="Tahoma"/>
      <family val="2"/>
    </font>
    <font>
      <sz val="8"/>
      <color rgb="FFFFFFFF"/>
      <name val="Tahoma"/>
      <family val="2"/>
    </font>
    <font>
      <b/>
      <sz val="8"/>
      <name val="Tahoma"/>
      <family val="2"/>
    </font>
    <font>
      <b/>
      <sz val="8"/>
      <color theme="1"/>
      <name val="Tahoma"/>
      <family val="2"/>
    </font>
    <font>
      <sz val="8"/>
      <color rgb="FF000000"/>
      <name val="Tahoma"/>
      <family val="2"/>
    </font>
    <font>
      <sz val="8"/>
      <name val="Calibri"/>
      <family val="2"/>
      <scheme val="minor"/>
    </font>
    <font>
      <b/>
      <sz val="8"/>
      <color theme="1"/>
      <name val="Calibri"/>
      <family val="2"/>
      <scheme val="minor"/>
    </font>
    <font>
      <b/>
      <sz val="8"/>
      <name val="Calibri"/>
      <family val="2"/>
      <scheme val="minor"/>
    </font>
    <font>
      <sz val="8"/>
      <color theme="1"/>
      <name val="Calibri"/>
      <family val="2"/>
      <scheme val="minor"/>
    </font>
  </fonts>
  <fills count="9">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2" tint="-0.499984740745262"/>
        <bgColor indexed="64"/>
      </patternFill>
    </fill>
    <fill>
      <patternFill patternType="solid">
        <fgColor theme="0" tint="-0.14999847407452621"/>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15">
    <xf numFmtId="0" fontId="0" fillId="0" borderId="0" xfId="0"/>
    <xf numFmtId="0" fontId="5" fillId="0" borderId="0" xfId="0" applyFont="1"/>
    <xf numFmtId="0" fontId="7" fillId="4" borderId="17" xfId="0" applyFont="1" applyFill="1" applyBorder="1" applyAlignment="1">
      <alignment horizontal="center" vertical="center" wrapText="1"/>
    </xf>
    <xf numFmtId="0" fontId="7" fillId="4" borderId="18" xfId="0" applyFont="1" applyFill="1" applyBorder="1" applyAlignment="1">
      <alignment horizontal="center" vertical="center"/>
    </xf>
    <xf numFmtId="0" fontId="7" fillId="4" borderId="20" xfId="0" applyFont="1" applyFill="1" applyBorder="1" applyAlignment="1">
      <alignment horizontal="center" vertical="center" wrapText="1"/>
    </xf>
    <xf numFmtId="165" fontId="7" fillId="4" borderId="20" xfId="1" applyFont="1" applyFill="1" applyBorder="1" applyAlignment="1">
      <alignment horizontal="center" vertical="center" wrapText="1"/>
    </xf>
    <xf numFmtId="9" fontId="7" fillId="4" borderId="20" xfId="3" applyFont="1" applyFill="1" applyBorder="1" applyAlignment="1">
      <alignment horizontal="center" vertical="center" wrapText="1"/>
    </xf>
    <xf numFmtId="166" fontId="7" fillId="4" borderId="20" xfId="1" applyNumberFormat="1" applyFont="1" applyFill="1" applyBorder="1" applyAlignment="1">
      <alignment horizontal="center" vertical="center" wrapText="1"/>
    </xf>
    <xf numFmtId="164" fontId="7" fillId="4" borderId="20" xfId="2" applyFont="1" applyFill="1" applyBorder="1" applyAlignment="1">
      <alignment horizontal="center" vertical="center" wrapText="1"/>
    </xf>
    <xf numFmtId="0" fontId="5" fillId="0" borderId="0" xfId="0" applyFont="1" applyAlignment="1">
      <alignment horizontal="center" vertical="center"/>
    </xf>
    <xf numFmtId="0" fontId="2" fillId="0" borderId="23"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3" xfId="0" applyFont="1" applyBorder="1" applyAlignment="1">
      <alignment horizontal="justify" vertical="top" wrapText="1"/>
    </xf>
    <xf numFmtId="0" fontId="9" fillId="6" borderId="23" xfId="0" applyFont="1" applyFill="1" applyBorder="1" applyAlignment="1">
      <alignment horizontal="center" vertical="center" wrapText="1"/>
    </xf>
    <xf numFmtId="0" fontId="5" fillId="3" borderId="24" xfId="0" applyFont="1" applyFill="1" applyBorder="1" applyAlignment="1">
      <alignment horizontal="center" vertical="center" wrapText="1"/>
    </xf>
    <xf numFmtId="1" fontId="5" fillId="7" borderId="23" xfId="0" applyNumberFormat="1" applyFont="1" applyFill="1" applyBorder="1" applyAlignment="1">
      <alignment horizontal="center" vertical="center" wrapText="1"/>
    </xf>
    <xf numFmtId="165" fontId="5" fillId="0" borderId="23" xfId="1" applyFont="1" applyBorder="1" applyAlignment="1">
      <alignment wrapText="1"/>
    </xf>
    <xf numFmtId="9" fontId="5" fillId="0" borderId="23" xfId="0" applyNumberFormat="1" applyFont="1" applyBorder="1" applyAlignment="1">
      <alignment wrapText="1"/>
    </xf>
    <xf numFmtId="166" fontId="2" fillId="0" borderId="19" xfId="2" applyNumberFormat="1" applyFont="1" applyFill="1" applyBorder="1" applyAlignment="1">
      <alignment horizontal="right"/>
    </xf>
    <xf numFmtId="9" fontId="2" fillId="0" borderId="19" xfId="3" applyFont="1" applyFill="1" applyBorder="1" applyAlignment="1">
      <alignment horizontal="right"/>
    </xf>
    <xf numFmtId="166" fontId="5" fillId="0" borderId="19" xfId="2" applyNumberFormat="1" applyFont="1" applyFill="1" applyBorder="1" applyAlignment="1">
      <alignment horizontal="right" vertical="center"/>
    </xf>
    <xf numFmtId="164" fontId="5" fillId="0" borderId="19" xfId="2" applyFont="1" applyFill="1" applyBorder="1" applyAlignment="1">
      <alignment horizontal="right" vertical="center"/>
    </xf>
    <xf numFmtId="164" fontId="5" fillId="0" borderId="19" xfId="0" applyNumberFormat="1" applyFont="1" applyBorder="1"/>
    <xf numFmtId="166" fontId="5" fillId="0" borderId="19" xfId="0" applyNumberFormat="1" applyFont="1" applyBorder="1"/>
    <xf numFmtId="166" fontId="5" fillId="0" borderId="0" xfId="1" applyNumberFormat="1" applyFont="1"/>
    <xf numFmtId="0" fontId="2" fillId="0" borderId="19"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19" xfId="0" applyFont="1" applyBorder="1" applyAlignment="1">
      <alignment horizontal="justify" vertical="top" wrapText="1"/>
    </xf>
    <xf numFmtId="0" fontId="9" fillId="6" borderId="19" xfId="0" applyFont="1" applyFill="1" applyBorder="1" applyAlignment="1">
      <alignment horizontal="center" vertical="center" wrapText="1"/>
    </xf>
    <xf numFmtId="0" fontId="5" fillId="3" borderId="9" xfId="0" applyFont="1" applyFill="1" applyBorder="1" applyAlignment="1">
      <alignment horizontal="center" vertical="center" wrapText="1"/>
    </xf>
    <xf numFmtId="165" fontId="5" fillId="0" borderId="19" xfId="1" applyFont="1" applyBorder="1" applyAlignment="1">
      <alignment wrapText="1"/>
    </xf>
    <xf numFmtId="0" fontId="5" fillId="0" borderId="19" xfId="0" applyFont="1" applyBorder="1" applyAlignment="1">
      <alignment horizontal="center" vertical="center" wrapText="1"/>
    </xf>
    <xf numFmtId="0" fontId="5" fillId="0" borderId="19" xfId="0" applyFont="1" applyBorder="1" applyAlignment="1">
      <alignment horizontal="justify" vertical="top" wrapText="1"/>
    </xf>
    <xf numFmtId="9" fontId="10" fillId="0" borderId="19" xfId="3" applyFont="1" applyFill="1" applyBorder="1" applyAlignment="1">
      <alignment horizontal="right"/>
    </xf>
    <xf numFmtId="1" fontId="11" fillId="5" borderId="25" xfId="0" applyNumberFormat="1" applyFont="1" applyFill="1" applyBorder="1" applyAlignment="1">
      <alignment horizontal="center" vertical="center"/>
    </xf>
    <xf numFmtId="1" fontId="11" fillId="5" borderId="26" xfId="0" applyNumberFormat="1" applyFont="1" applyFill="1" applyBorder="1" applyAlignment="1">
      <alignment horizontal="center" vertical="center"/>
    </xf>
    <xf numFmtId="164" fontId="12" fillId="8" borderId="27" xfId="2" applyFont="1" applyFill="1" applyBorder="1" applyAlignment="1">
      <alignment horizontal="center" vertical="center"/>
    </xf>
    <xf numFmtId="0" fontId="13" fillId="0" borderId="0" xfId="0" applyFont="1" applyAlignment="1">
      <alignment horizontal="center" vertical="center"/>
    </xf>
    <xf numFmtId="164" fontId="12" fillId="8" borderId="18" xfId="2" applyFont="1" applyFill="1" applyBorder="1" applyAlignment="1">
      <alignment horizontal="center" vertical="center"/>
    </xf>
    <xf numFmtId="0" fontId="7" fillId="3" borderId="31" xfId="0" applyFont="1" applyFill="1" applyBorder="1" applyAlignment="1">
      <alignment horizontal="left" vertical="center"/>
    </xf>
    <xf numFmtId="0" fontId="7" fillId="3" borderId="32" xfId="0" applyFont="1" applyFill="1" applyBorder="1" applyAlignment="1">
      <alignment horizontal="left" vertical="center"/>
    </xf>
    <xf numFmtId="165" fontId="7" fillId="3" borderId="32" xfId="1" applyFont="1" applyFill="1" applyBorder="1" applyAlignment="1">
      <alignment horizontal="left" vertical="center"/>
    </xf>
    <xf numFmtId="9" fontId="7" fillId="3" borderId="32" xfId="3" applyFont="1" applyFill="1" applyBorder="1" applyAlignment="1">
      <alignment horizontal="left" vertical="center"/>
    </xf>
    <xf numFmtId="164" fontId="7" fillId="3" borderId="32" xfId="2" applyFont="1" applyFill="1" applyBorder="1" applyAlignment="1">
      <alignment horizontal="left" vertical="center"/>
    </xf>
    <xf numFmtId="164" fontId="5" fillId="3" borderId="33" xfId="2" applyFont="1" applyFill="1" applyBorder="1"/>
    <xf numFmtId="0" fontId="7" fillId="3" borderId="34" xfId="0" applyFont="1" applyFill="1" applyBorder="1" applyAlignment="1">
      <alignment horizontal="left" vertical="center"/>
    </xf>
    <xf numFmtId="0" fontId="7" fillId="3" borderId="0" xfId="0" applyFont="1" applyFill="1" applyAlignment="1">
      <alignment horizontal="left" vertical="center"/>
    </xf>
    <xf numFmtId="165" fontId="7" fillId="3" borderId="0" xfId="1" applyFont="1" applyFill="1" applyAlignment="1">
      <alignment horizontal="left" vertical="center"/>
    </xf>
    <xf numFmtId="9" fontId="7" fillId="3" borderId="0" xfId="3" applyFont="1" applyFill="1" applyBorder="1" applyAlignment="1">
      <alignment horizontal="left" vertical="center"/>
    </xf>
    <xf numFmtId="164" fontId="7" fillId="3" borderId="0" xfId="2" applyFont="1" applyFill="1" applyBorder="1" applyAlignment="1">
      <alignment horizontal="left" vertical="center"/>
    </xf>
    <xf numFmtId="164" fontId="5" fillId="3" borderId="35" xfId="2" applyFont="1" applyFill="1" applyBorder="1"/>
    <xf numFmtId="165" fontId="2" fillId="3" borderId="0" xfId="1" applyFont="1" applyFill="1" applyBorder="1" applyAlignment="1"/>
    <xf numFmtId="9" fontId="2" fillId="3" borderId="0" xfId="3" applyFont="1" applyFill="1" applyBorder="1" applyAlignment="1"/>
    <xf numFmtId="166" fontId="2" fillId="3" borderId="0" xfId="0" applyNumberFormat="1" applyFont="1" applyFill="1"/>
    <xf numFmtId="164" fontId="2" fillId="3" borderId="0" xfId="2" applyFont="1" applyFill="1" applyBorder="1"/>
    <xf numFmtId="9" fontId="2" fillId="3" borderId="0" xfId="3" applyFont="1" applyFill="1" applyBorder="1"/>
    <xf numFmtId="164" fontId="2" fillId="0" borderId="0" xfId="2" applyFont="1" applyFill="1" applyBorder="1" applyAlignment="1">
      <alignment vertical="center"/>
    </xf>
    <xf numFmtId="164" fontId="2" fillId="0" borderId="35" xfId="2" applyFont="1" applyFill="1" applyBorder="1" applyAlignment="1">
      <alignment vertical="center"/>
    </xf>
    <xf numFmtId="164" fontId="7" fillId="0" borderId="0" xfId="2" applyFont="1" applyFill="1" applyBorder="1" applyAlignment="1">
      <alignment vertical="center"/>
    </xf>
    <xf numFmtId="164" fontId="7" fillId="0" borderId="35" xfId="2" applyFont="1" applyFill="1" applyBorder="1" applyAlignment="1">
      <alignment vertical="center"/>
    </xf>
    <xf numFmtId="0" fontId="7" fillId="3" borderId="36" xfId="0" applyFont="1" applyFill="1" applyBorder="1" applyAlignment="1">
      <alignment horizontal="left" vertical="center"/>
    </xf>
    <xf numFmtId="0" fontId="7" fillId="3" borderId="37" xfId="0" applyFont="1" applyFill="1" applyBorder="1" applyAlignment="1">
      <alignment horizontal="left" vertical="center"/>
    </xf>
    <xf numFmtId="165" fontId="2" fillId="3" borderId="37" xfId="1" applyFont="1" applyFill="1" applyBorder="1" applyAlignment="1"/>
    <xf numFmtId="9" fontId="2" fillId="3" borderId="37" xfId="3" applyFont="1" applyFill="1" applyBorder="1" applyAlignment="1"/>
    <xf numFmtId="166" fontId="2" fillId="3" borderId="37" xfId="0" applyNumberFormat="1" applyFont="1" applyFill="1" applyBorder="1"/>
    <xf numFmtId="164" fontId="2" fillId="3" borderId="37" xfId="2" applyFont="1" applyFill="1" applyBorder="1"/>
    <xf numFmtId="9" fontId="2" fillId="3" borderId="37" xfId="3" applyFont="1" applyFill="1" applyBorder="1"/>
    <xf numFmtId="164" fontId="7" fillId="0" borderId="37" xfId="2" applyFont="1" applyFill="1" applyBorder="1" applyAlignment="1">
      <alignment vertical="center"/>
    </xf>
    <xf numFmtId="164" fontId="7" fillId="0" borderId="38" xfId="2" applyFont="1" applyFill="1" applyBorder="1" applyAlignment="1">
      <alignment vertical="center"/>
    </xf>
    <xf numFmtId="0" fontId="2" fillId="0" borderId="0" xfId="0" applyFont="1"/>
    <xf numFmtId="0" fontId="5" fillId="0" borderId="0" xfId="0" applyFont="1" applyAlignment="1">
      <alignment vertical="center"/>
    </xf>
    <xf numFmtId="0" fontId="5" fillId="0" borderId="0" xfId="0" applyFont="1" applyAlignment="1">
      <alignment horizontal="center"/>
    </xf>
    <xf numFmtId="165" fontId="5" fillId="0" borderId="0" xfId="1" applyFont="1" applyAlignment="1"/>
    <xf numFmtId="9" fontId="5" fillId="0" borderId="0" xfId="3" applyFont="1" applyAlignment="1"/>
    <xf numFmtId="166" fontId="5" fillId="0" borderId="0" xfId="0" applyNumberFormat="1" applyFont="1"/>
    <xf numFmtId="164" fontId="5" fillId="0" borderId="0" xfId="2" applyFont="1"/>
    <xf numFmtId="9" fontId="5" fillId="0" borderId="0" xfId="3" applyFont="1"/>
    <xf numFmtId="0" fontId="7" fillId="4" borderId="19" xfId="0" applyFont="1" applyFill="1" applyBorder="1" applyAlignment="1">
      <alignment horizontal="center" vertical="center" wrapText="1"/>
    </xf>
    <xf numFmtId="0" fontId="7" fillId="4" borderId="17" xfId="0" applyFont="1" applyFill="1" applyBorder="1" applyAlignment="1">
      <alignment horizontal="center" vertical="center"/>
    </xf>
    <xf numFmtId="0" fontId="0" fillId="0" borderId="0" xfId="0" applyAlignment="1">
      <alignment horizont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164" fontId="8" fillId="4" borderId="16" xfId="2" applyFont="1" applyFill="1" applyBorder="1" applyAlignment="1">
      <alignment horizontal="center" vertical="center" wrapText="1"/>
    </xf>
    <xf numFmtId="164" fontId="8" fillId="4" borderId="22" xfId="2" applyFont="1" applyFill="1" applyBorder="1" applyAlignment="1">
      <alignment horizontal="center" vertical="center" wrapText="1"/>
    </xf>
    <xf numFmtId="1" fontId="11" fillId="5" borderId="24" xfId="0" applyNumberFormat="1" applyFont="1" applyFill="1" applyBorder="1" applyAlignment="1">
      <alignment horizontal="center" vertical="center"/>
    </xf>
    <xf numFmtId="1" fontId="11" fillId="5" borderId="25" xfId="0" applyNumberFormat="1" applyFont="1" applyFill="1" applyBorder="1" applyAlignment="1">
      <alignment horizontal="center" vertical="center"/>
    </xf>
    <xf numFmtId="1" fontId="11" fillId="5" borderId="9" xfId="0" applyNumberFormat="1" applyFont="1" applyFill="1" applyBorder="1" applyAlignment="1">
      <alignment horizontal="center" vertical="center"/>
    </xf>
    <xf numFmtId="1" fontId="11" fillId="5" borderId="10" xfId="0" applyNumberFormat="1" applyFont="1" applyFill="1" applyBorder="1" applyAlignment="1">
      <alignment horizontal="center" vertical="center"/>
    </xf>
    <xf numFmtId="1" fontId="11" fillId="5" borderId="11" xfId="0" applyNumberFormat="1" applyFont="1" applyFill="1" applyBorder="1" applyAlignment="1">
      <alignment horizontal="center" vertical="center"/>
    </xf>
    <xf numFmtId="1" fontId="11" fillId="5" borderId="28" xfId="0" applyNumberFormat="1" applyFont="1" applyFill="1" applyBorder="1" applyAlignment="1">
      <alignment horizontal="center" vertical="center"/>
    </xf>
    <xf numFmtId="1" fontId="11" fillId="5" borderId="29" xfId="0" applyNumberFormat="1" applyFont="1" applyFill="1" applyBorder="1" applyAlignment="1">
      <alignment horizontal="center" vertical="center"/>
    </xf>
    <xf numFmtId="1" fontId="11" fillId="5" borderId="30" xfId="0" applyNumberFormat="1" applyFont="1" applyFill="1" applyBorder="1" applyAlignment="1">
      <alignment horizontal="center" vertical="center"/>
    </xf>
    <xf numFmtId="0" fontId="7" fillId="4" borderId="4" xfId="0" applyFont="1" applyFill="1" applyBorder="1" applyAlignment="1">
      <alignment horizontal="center" vertical="center"/>
    </xf>
    <xf numFmtId="0" fontId="7" fillId="4" borderId="0" xfId="0" applyFont="1" applyFill="1" applyAlignment="1">
      <alignment horizontal="center" vertical="center"/>
    </xf>
    <xf numFmtId="0" fontId="7" fillId="4" borderId="8" xfId="0" applyFont="1" applyFill="1" applyBorder="1" applyAlignment="1">
      <alignment horizontal="center" vertical="center"/>
    </xf>
    <xf numFmtId="0" fontId="7" fillId="4" borderId="9"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8" fillId="4" borderId="12"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4" fontId="8" fillId="4" borderId="15" xfId="2" applyFont="1" applyFill="1" applyBorder="1" applyAlignment="1">
      <alignment horizontal="center" vertical="center" wrapText="1"/>
    </xf>
    <xf numFmtId="164" fontId="8" fillId="4" borderId="21" xfId="2"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4" xfId="0" applyFont="1" applyFill="1" applyBorder="1" applyAlignment="1">
      <alignment horizontal="center" vertical="top"/>
    </xf>
    <xf numFmtId="0" fontId="3" fillId="2" borderId="0" xfId="0" applyFont="1" applyFill="1" applyAlignment="1">
      <alignment horizontal="center" vertical="top"/>
    </xf>
    <xf numFmtId="0" fontId="3" fillId="2" borderId="5" xfId="0" applyFont="1" applyFill="1" applyBorder="1" applyAlignment="1">
      <alignment horizontal="center" vertical="top"/>
    </xf>
  </cellXfs>
  <cellStyles count="4">
    <cellStyle name="Currency" xfId="1" builtinId="4"/>
    <cellStyle name="Currency [0]" xfId="2" builtinId="7"/>
    <cellStyle name="Normal" xfId="0" builtinId="0"/>
    <cellStyle name="Percent" xfId="3" builtinId="5"/>
  </cellStyles>
  <dxfs count="2">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6</xdr:col>
      <xdr:colOff>356342</xdr:colOff>
      <xdr:row>0</xdr:row>
      <xdr:rowOff>41242</xdr:rowOff>
    </xdr:from>
    <xdr:to>
      <xdr:col>6</xdr:col>
      <xdr:colOff>904454</xdr:colOff>
      <xdr:row>2</xdr:row>
      <xdr:rowOff>73269</xdr:rowOff>
    </xdr:to>
    <xdr:pic>
      <xdr:nvPicPr>
        <xdr:cNvPr id="2" name="Imagen 1">
          <a:extLst>
            <a:ext uri="{FF2B5EF4-FFF2-40B4-BE49-F238E27FC236}">
              <a16:creationId xmlns:a16="http://schemas.microsoft.com/office/drawing/2014/main" id="{1563200A-8582-4B8C-B8B1-583A0749F3E0}"/>
            </a:ext>
          </a:extLst>
        </xdr:cNvPr>
        <xdr:cNvPicPr>
          <a:picLocks noChangeAspect="1"/>
        </xdr:cNvPicPr>
      </xdr:nvPicPr>
      <xdr:blipFill>
        <a:blip xmlns:r="http://schemas.openxmlformats.org/officeDocument/2006/relationships" r:embed="rId1"/>
        <a:stretch>
          <a:fillRect/>
        </a:stretch>
      </xdr:blipFill>
      <xdr:spPr>
        <a:xfrm>
          <a:off x="9016765" y="41242"/>
          <a:ext cx="548112" cy="413027"/>
        </a:xfrm>
        <a:prstGeom prst="rect">
          <a:avLst/>
        </a:prstGeom>
      </xdr:spPr>
    </xdr:pic>
    <xdr:clientData/>
  </xdr:twoCellAnchor>
  <xdr:twoCellAnchor editAs="oneCell">
    <xdr:from>
      <xdr:col>3</xdr:col>
      <xdr:colOff>0</xdr:colOff>
      <xdr:row>12</xdr:row>
      <xdr:rowOff>0</xdr:rowOff>
    </xdr:from>
    <xdr:to>
      <xdr:col>3</xdr:col>
      <xdr:colOff>304800</xdr:colOff>
      <xdr:row>13</xdr:row>
      <xdr:rowOff>114300</xdr:rowOff>
    </xdr:to>
    <xdr:sp macro="" textlink="">
      <xdr:nvSpPr>
        <xdr:cNvPr id="3" name="AutoShape 9" descr="Sanduchera OSTER Tipo Panini Compacta 2204949 Negra">
          <a:extLst>
            <a:ext uri="{FF2B5EF4-FFF2-40B4-BE49-F238E27FC236}">
              <a16:creationId xmlns:a16="http://schemas.microsoft.com/office/drawing/2014/main" id="{1A4AD086-88A6-4C6D-93A1-138A28813165}"/>
            </a:ext>
          </a:extLst>
        </xdr:cNvPr>
        <xdr:cNvSpPr>
          <a:spLocks noChangeAspect="1" noChangeArrowheads="1"/>
        </xdr:cNvSpPr>
      </xdr:nvSpPr>
      <xdr:spPr bwMode="auto">
        <a:xfrm>
          <a:off x="3457575" y="658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15</xdr:row>
      <xdr:rowOff>114300</xdr:rowOff>
    </xdr:to>
    <xdr:sp macro="" textlink="">
      <xdr:nvSpPr>
        <xdr:cNvPr id="4" name="AutoShape 14" descr="Freidora de aire IMUSA Easy Fry Deluxe 4,2L Digital Negra">
          <a:extLst>
            <a:ext uri="{FF2B5EF4-FFF2-40B4-BE49-F238E27FC236}">
              <a16:creationId xmlns:a16="http://schemas.microsoft.com/office/drawing/2014/main" id="{85F49974-5D7D-47A2-AA9E-3D3C040CF00A}"/>
            </a:ext>
          </a:extLst>
        </xdr:cNvPr>
        <xdr:cNvSpPr>
          <a:spLocks noChangeAspect="1" noChangeArrowheads="1"/>
        </xdr:cNvSpPr>
      </xdr:nvSpPr>
      <xdr:spPr bwMode="auto">
        <a:xfrm>
          <a:off x="3457575" y="818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xdr:row>
      <xdr:rowOff>0</xdr:rowOff>
    </xdr:from>
    <xdr:to>
      <xdr:col>3</xdr:col>
      <xdr:colOff>304800</xdr:colOff>
      <xdr:row>21</xdr:row>
      <xdr:rowOff>18088</xdr:rowOff>
    </xdr:to>
    <xdr:sp macro="" textlink="">
      <xdr:nvSpPr>
        <xdr:cNvPr id="5" name="AutoShape 20" descr="Kit Ping Pong Tenis Mesa Miyagi Set Raquetas Pelotas Malla">
          <a:extLst>
            <a:ext uri="{FF2B5EF4-FFF2-40B4-BE49-F238E27FC236}">
              <a16:creationId xmlns:a16="http://schemas.microsoft.com/office/drawing/2014/main" id="{15E1A07B-8523-4CB5-9056-4B48B85103A4}"/>
            </a:ext>
          </a:extLst>
        </xdr:cNvPr>
        <xdr:cNvSpPr>
          <a:spLocks noChangeAspect="1" noChangeArrowheads="1"/>
        </xdr:cNvSpPr>
      </xdr:nvSpPr>
      <xdr:spPr bwMode="auto">
        <a:xfrm>
          <a:off x="3457575" y="11382375"/>
          <a:ext cx="304800" cy="58958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26</xdr:row>
      <xdr:rowOff>0</xdr:rowOff>
    </xdr:from>
    <xdr:to>
      <xdr:col>3</xdr:col>
      <xdr:colOff>304800</xdr:colOff>
      <xdr:row>34</xdr:row>
      <xdr:rowOff>110601</xdr:rowOff>
    </xdr:to>
    <xdr:sp macro="" textlink="">
      <xdr:nvSpPr>
        <xdr:cNvPr id="6" name="AutoShape 29" descr="Contenedor De Plástico Para Almacenamiento Paquete X 3 Impor">
          <a:extLst>
            <a:ext uri="{FF2B5EF4-FFF2-40B4-BE49-F238E27FC236}">
              <a16:creationId xmlns:a16="http://schemas.microsoft.com/office/drawing/2014/main" id="{7BA9139C-92A9-4B19-AB9B-5B7E6B34EFBD}"/>
            </a:ext>
          </a:extLst>
        </xdr:cNvPr>
        <xdr:cNvSpPr>
          <a:spLocks noChangeAspect="1" noChangeArrowheads="1"/>
        </xdr:cNvSpPr>
      </xdr:nvSpPr>
      <xdr:spPr bwMode="auto">
        <a:xfrm>
          <a:off x="3457575" y="17783175"/>
          <a:ext cx="304800" cy="16346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26</xdr:row>
      <xdr:rowOff>0</xdr:rowOff>
    </xdr:from>
    <xdr:to>
      <xdr:col>3</xdr:col>
      <xdr:colOff>304800</xdr:colOff>
      <xdr:row>34</xdr:row>
      <xdr:rowOff>110601</xdr:rowOff>
    </xdr:to>
    <xdr:sp macro="" textlink="">
      <xdr:nvSpPr>
        <xdr:cNvPr id="7" name="AutoShape 30" descr="Contenedor De Plástico Para Almacenamiento Paquete X 3 Impor">
          <a:extLst>
            <a:ext uri="{FF2B5EF4-FFF2-40B4-BE49-F238E27FC236}">
              <a16:creationId xmlns:a16="http://schemas.microsoft.com/office/drawing/2014/main" id="{4A2154CE-2FB7-4EBB-9596-CFE3AB435417}"/>
            </a:ext>
          </a:extLst>
        </xdr:cNvPr>
        <xdr:cNvSpPr>
          <a:spLocks noChangeAspect="1" noChangeArrowheads="1"/>
        </xdr:cNvSpPr>
      </xdr:nvSpPr>
      <xdr:spPr bwMode="auto">
        <a:xfrm>
          <a:off x="3457575" y="17783175"/>
          <a:ext cx="304800" cy="16346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29</xdr:row>
      <xdr:rowOff>0</xdr:rowOff>
    </xdr:from>
    <xdr:to>
      <xdr:col>3</xdr:col>
      <xdr:colOff>304800</xdr:colOff>
      <xdr:row>30</xdr:row>
      <xdr:rowOff>103717</xdr:rowOff>
    </xdr:to>
    <xdr:sp macro="" textlink="">
      <xdr:nvSpPr>
        <xdr:cNvPr id="8" name="AutoShape 34" descr="juego de cucharas de servicio de 6 piezas,   de servicio,   ranuradas de servicio, juego de cucharas de servicio para bufé y restaurante de acero inoxidable, utensilios de mesa para fiestas y banquetes, color plata 0">
          <a:extLst>
            <a:ext uri="{FF2B5EF4-FFF2-40B4-BE49-F238E27FC236}">
              <a16:creationId xmlns:a16="http://schemas.microsoft.com/office/drawing/2014/main" id="{FD686F27-F6FA-436D-8363-7B9D84F953DD}"/>
            </a:ext>
          </a:extLst>
        </xdr:cNvPr>
        <xdr:cNvSpPr>
          <a:spLocks noChangeAspect="1" noChangeArrowheads="1"/>
        </xdr:cNvSpPr>
      </xdr:nvSpPr>
      <xdr:spPr bwMode="auto">
        <a:xfrm>
          <a:off x="3457575" y="20945475"/>
          <a:ext cx="304800" cy="2942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29</xdr:row>
      <xdr:rowOff>0</xdr:rowOff>
    </xdr:from>
    <xdr:to>
      <xdr:col>3</xdr:col>
      <xdr:colOff>304800</xdr:colOff>
      <xdr:row>30</xdr:row>
      <xdr:rowOff>103717</xdr:rowOff>
    </xdr:to>
    <xdr:sp macro="" textlink="">
      <xdr:nvSpPr>
        <xdr:cNvPr id="9" name="AutoShape 38">
          <a:extLst>
            <a:ext uri="{FF2B5EF4-FFF2-40B4-BE49-F238E27FC236}">
              <a16:creationId xmlns:a16="http://schemas.microsoft.com/office/drawing/2014/main" id="{FE433133-EF29-43D5-A522-1F6376D8C52B}"/>
            </a:ext>
          </a:extLst>
        </xdr:cNvPr>
        <xdr:cNvSpPr>
          <a:spLocks noChangeAspect="1" noChangeArrowheads="1"/>
        </xdr:cNvSpPr>
      </xdr:nvSpPr>
      <xdr:spPr bwMode="auto">
        <a:xfrm>
          <a:off x="3457575" y="20945475"/>
          <a:ext cx="304800" cy="2942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29</xdr:row>
      <xdr:rowOff>0</xdr:rowOff>
    </xdr:from>
    <xdr:to>
      <xdr:col>3</xdr:col>
      <xdr:colOff>304800</xdr:colOff>
      <xdr:row>30</xdr:row>
      <xdr:rowOff>103717</xdr:rowOff>
    </xdr:to>
    <xdr:sp macro="" textlink="">
      <xdr:nvSpPr>
        <xdr:cNvPr id="10" name="AutoShape 39" descr="Taza de medida de policarbonato de 1 taza con letras rojas Winco - Imagen 1">
          <a:extLst>
            <a:ext uri="{FF2B5EF4-FFF2-40B4-BE49-F238E27FC236}">
              <a16:creationId xmlns:a16="http://schemas.microsoft.com/office/drawing/2014/main" id="{EFA0F1B4-C501-435B-9F0B-A99AC2D91922}"/>
            </a:ext>
          </a:extLst>
        </xdr:cNvPr>
        <xdr:cNvSpPr>
          <a:spLocks noChangeAspect="1" noChangeArrowheads="1"/>
        </xdr:cNvSpPr>
      </xdr:nvSpPr>
      <xdr:spPr bwMode="auto">
        <a:xfrm>
          <a:off x="3457575" y="20945475"/>
          <a:ext cx="304800" cy="2942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29</xdr:row>
      <xdr:rowOff>0</xdr:rowOff>
    </xdr:from>
    <xdr:to>
      <xdr:col>3</xdr:col>
      <xdr:colOff>304800</xdr:colOff>
      <xdr:row>30</xdr:row>
      <xdr:rowOff>103717</xdr:rowOff>
    </xdr:to>
    <xdr:sp macro="" textlink="">
      <xdr:nvSpPr>
        <xdr:cNvPr id="11" name="AutoShape 40" descr="Taza de medida de policarbonato de 1 taza con letras rojas Winco - Imagen 1">
          <a:extLst>
            <a:ext uri="{FF2B5EF4-FFF2-40B4-BE49-F238E27FC236}">
              <a16:creationId xmlns:a16="http://schemas.microsoft.com/office/drawing/2014/main" id="{5598D136-10C8-45C5-8260-65A1B2CCA708}"/>
            </a:ext>
          </a:extLst>
        </xdr:cNvPr>
        <xdr:cNvSpPr>
          <a:spLocks noChangeAspect="1" noChangeArrowheads="1"/>
        </xdr:cNvSpPr>
      </xdr:nvSpPr>
      <xdr:spPr bwMode="auto">
        <a:xfrm>
          <a:off x="3457575" y="20945475"/>
          <a:ext cx="304800" cy="2942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29</xdr:row>
      <xdr:rowOff>0</xdr:rowOff>
    </xdr:from>
    <xdr:to>
      <xdr:col>3</xdr:col>
      <xdr:colOff>304800</xdr:colOff>
      <xdr:row>30</xdr:row>
      <xdr:rowOff>103717</xdr:rowOff>
    </xdr:to>
    <xdr:sp macro="" textlink="">
      <xdr:nvSpPr>
        <xdr:cNvPr id="12" name="AutoShape 41" descr="Taza de medida de policarbonato de 1 taza con letras rojas Winco - Imagen 1">
          <a:extLst>
            <a:ext uri="{FF2B5EF4-FFF2-40B4-BE49-F238E27FC236}">
              <a16:creationId xmlns:a16="http://schemas.microsoft.com/office/drawing/2014/main" id="{21D9C5E6-9F79-4CAD-B816-AD92743FF957}"/>
            </a:ext>
          </a:extLst>
        </xdr:cNvPr>
        <xdr:cNvSpPr>
          <a:spLocks noChangeAspect="1" noChangeArrowheads="1"/>
        </xdr:cNvSpPr>
      </xdr:nvSpPr>
      <xdr:spPr bwMode="auto">
        <a:xfrm>
          <a:off x="3457575" y="20945475"/>
          <a:ext cx="304800" cy="2942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8</xdr:row>
      <xdr:rowOff>0</xdr:rowOff>
    </xdr:from>
    <xdr:ext cx="304800" cy="304800"/>
    <xdr:sp macro="" textlink="">
      <xdr:nvSpPr>
        <xdr:cNvPr id="13" name="AutoShape 20" descr="Kit Ping Pong Tenis Mesa Miyagi Set Raquetas Pelotas Malla">
          <a:extLst>
            <a:ext uri="{FF2B5EF4-FFF2-40B4-BE49-F238E27FC236}">
              <a16:creationId xmlns:a16="http://schemas.microsoft.com/office/drawing/2014/main" id="{22A8FBC8-08FF-4ECF-88EF-484E62BDB4B7}"/>
            </a:ext>
          </a:extLst>
        </xdr:cNvPr>
        <xdr:cNvSpPr>
          <a:spLocks noChangeAspect="1" noChangeArrowheads="1"/>
        </xdr:cNvSpPr>
      </xdr:nvSpPr>
      <xdr:spPr bwMode="auto">
        <a:xfrm>
          <a:off x="3457575" y="338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8</xdr:row>
      <xdr:rowOff>0</xdr:rowOff>
    </xdr:from>
    <xdr:ext cx="304800" cy="304800"/>
    <xdr:sp macro="" textlink="">
      <xdr:nvSpPr>
        <xdr:cNvPr id="14" name="AutoShape 21" descr="Kit Ping Pong Tenis Mesa Miyagi Set Raquetas Pelotas Malla">
          <a:extLst>
            <a:ext uri="{FF2B5EF4-FFF2-40B4-BE49-F238E27FC236}">
              <a16:creationId xmlns:a16="http://schemas.microsoft.com/office/drawing/2014/main" id="{7E082AC2-EADF-4B32-A010-1AB8A04894C2}"/>
            </a:ext>
          </a:extLst>
        </xdr:cNvPr>
        <xdr:cNvSpPr>
          <a:spLocks noChangeAspect="1" noChangeArrowheads="1"/>
        </xdr:cNvSpPr>
      </xdr:nvSpPr>
      <xdr:spPr bwMode="auto">
        <a:xfrm>
          <a:off x="3457575" y="338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0</xdr:rowOff>
    </xdr:from>
    <xdr:ext cx="304800" cy="304800"/>
    <xdr:sp macro="" textlink="">
      <xdr:nvSpPr>
        <xdr:cNvPr id="15" name="AutoShape 20" descr="Kit Ping Pong Tenis Mesa Miyagi Set Raquetas Pelotas Malla">
          <a:extLst>
            <a:ext uri="{FF2B5EF4-FFF2-40B4-BE49-F238E27FC236}">
              <a16:creationId xmlns:a16="http://schemas.microsoft.com/office/drawing/2014/main" id="{DF9D3B9A-3D14-4260-91BF-00A3C044D6E6}"/>
            </a:ext>
          </a:extLst>
        </xdr:cNvPr>
        <xdr:cNvSpPr>
          <a:spLocks noChangeAspect="1" noChangeArrowheads="1"/>
        </xdr:cNvSpPr>
      </xdr:nvSpPr>
      <xdr:spPr bwMode="auto">
        <a:xfrm>
          <a:off x="3457575" y="1538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0</xdr:rowOff>
    </xdr:from>
    <xdr:ext cx="304800" cy="304800"/>
    <xdr:sp macro="" textlink="">
      <xdr:nvSpPr>
        <xdr:cNvPr id="16" name="AutoShape 21" descr="Kit Ping Pong Tenis Mesa Miyagi Set Raquetas Pelotas Malla">
          <a:extLst>
            <a:ext uri="{FF2B5EF4-FFF2-40B4-BE49-F238E27FC236}">
              <a16:creationId xmlns:a16="http://schemas.microsoft.com/office/drawing/2014/main" id="{8D3AA7F4-39DD-40A1-91BC-A7D02A1C4FA1}"/>
            </a:ext>
          </a:extLst>
        </xdr:cNvPr>
        <xdr:cNvSpPr>
          <a:spLocks noChangeAspect="1" noChangeArrowheads="1"/>
        </xdr:cNvSpPr>
      </xdr:nvSpPr>
      <xdr:spPr bwMode="auto">
        <a:xfrm>
          <a:off x="3457575" y="1538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24</xdr:row>
      <xdr:rowOff>0</xdr:rowOff>
    </xdr:from>
    <xdr:ext cx="304800" cy="304800"/>
    <xdr:sp macro="" textlink="">
      <xdr:nvSpPr>
        <xdr:cNvPr id="17" name="AutoShape 20" descr="Kit Ping Pong Tenis Mesa Miyagi Set Raquetas Pelotas Malla">
          <a:extLst>
            <a:ext uri="{FF2B5EF4-FFF2-40B4-BE49-F238E27FC236}">
              <a16:creationId xmlns:a16="http://schemas.microsoft.com/office/drawing/2014/main" id="{DBC429C7-763C-4C6C-94FE-0A7A9633C146}"/>
            </a:ext>
          </a:extLst>
        </xdr:cNvPr>
        <xdr:cNvSpPr>
          <a:spLocks noChangeAspect="1" noChangeArrowheads="1"/>
        </xdr:cNvSpPr>
      </xdr:nvSpPr>
      <xdr:spPr bwMode="auto">
        <a:xfrm>
          <a:off x="3457575" y="1618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24</xdr:row>
      <xdr:rowOff>0</xdr:rowOff>
    </xdr:from>
    <xdr:ext cx="304800" cy="304800"/>
    <xdr:sp macro="" textlink="">
      <xdr:nvSpPr>
        <xdr:cNvPr id="18" name="AutoShape 21" descr="Kit Ping Pong Tenis Mesa Miyagi Set Raquetas Pelotas Malla">
          <a:extLst>
            <a:ext uri="{FF2B5EF4-FFF2-40B4-BE49-F238E27FC236}">
              <a16:creationId xmlns:a16="http://schemas.microsoft.com/office/drawing/2014/main" id="{700BE4B9-C268-4780-BAB9-AF7259A063B1}"/>
            </a:ext>
          </a:extLst>
        </xdr:cNvPr>
        <xdr:cNvSpPr>
          <a:spLocks noChangeAspect="1" noChangeArrowheads="1"/>
        </xdr:cNvSpPr>
      </xdr:nvSpPr>
      <xdr:spPr bwMode="auto">
        <a:xfrm>
          <a:off x="3457575" y="1618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6BA53-D2E2-4A7C-BCD8-B45CBC1B42EC}">
  <dimension ref="A1:T974"/>
  <sheetViews>
    <sheetView tabSelected="1" topLeftCell="C1" zoomScale="65" workbookViewId="0">
      <selection activeCell="K22" sqref="K22"/>
    </sheetView>
  </sheetViews>
  <sheetFormatPr defaultColWidth="11.42578125" defaultRowHeight="15"/>
  <cols>
    <col min="1" max="1" width="7.7109375" style="69" customWidth="1"/>
    <col min="2" max="2" width="11.42578125" style="69"/>
    <col min="3" max="3" width="27.140625" style="70" customWidth="1"/>
    <col min="4" max="4" width="41.7109375" style="71" customWidth="1"/>
    <col min="5" max="5" width="20" style="71" customWidth="1"/>
    <col min="6" max="6" width="16.28515625" style="71" customWidth="1"/>
    <col min="7" max="7" width="21.7109375" style="71" customWidth="1"/>
    <col min="8" max="8" width="15.85546875" style="72" customWidth="1"/>
    <col min="9" max="9" width="16.140625" style="73" customWidth="1"/>
    <col min="10" max="10" width="18.5703125" style="72" bestFit="1" customWidth="1"/>
    <col min="11" max="11" width="24.140625" style="74" customWidth="1"/>
    <col min="12" max="12" width="14.140625" style="74" customWidth="1"/>
    <col min="13" max="13" width="20.85546875" style="74" customWidth="1"/>
    <col min="14" max="14" width="16.5703125" style="75" customWidth="1"/>
    <col min="15" max="15" width="11.7109375" style="76" customWidth="1"/>
    <col min="16" max="16" width="16" style="75" customWidth="1"/>
    <col min="17" max="17" width="23" style="75" customWidth="1"/>
    <col min="18" max="18" width="23" style="1" customWidth="1"/>
    <col min="19" max="19" width="22.28515625" style="1" bestFit="1" customWidth="1"/>
    <col min="20" max="20" width="16.42578125" style="1" bestFit="1" customWidth="1"/>
  </cols>
  <sheetData>
    <row r="1" spans="1:20">
      <c r="A1" s="80" t="s">
        <v>0</v>
      </c>
      <c r="B1" s="81"/>
      <c r="C1" s="81"/>
      <c r="D1" s="81"/>
      <c r="E1" s="81"/>
      <c r="F1" s="81"/>
      <c r="G1" s="81"/>
      <c r="H1" s="81"/>
      <c r="I1" s="81"/>
      <c r="J1" s="81"/>
      <c r="K1" s="81"/>
      <c r="L1" s="81"/>
      <c r="M1" s="81"/>
      <c r="N1" s="81"/>
      <c r="O1" s="81"/>
      <c r="P1" s="81"/>
      <c r="Q1" s="82"/>
      <c r="R1" s="104" t="s">
        <v>1</v>
      </c>
      <c r="S1" s="105"/>
    </row>
    <row r="2" spans="1:20">
      <c r="A2" s="112" t="s">
        <v>2</v>
      </c>
      <c r="B2" s="113"/>
      <c r="C2" s="113"/>
      <c r="D2" s="113"/>
      <c r="E2" s="113"/>
      <c r="F2" s="113"/>
      <c r="G2" s="113"/>
      <c r="H2" s="113"/>
      <c r="I2" s="113"/>
      <c r="J2" s="113"/>
      <c r="K2" s="113"/>
      <c r="L2" s="113"/>
      <c r="M2" s="113"/>
      <c r="N2" s="113"/>
      <c r="O2" s="113"/>
      <c r="P2" s="113"/>
      <c r="Q2" s="114"/>
      <c r="R2" s="104"/>
      <c r="S2" s="105"/>
    </row>
    <row r="3" spans="1:20" ht="15" customHeight="1">
      <c r="A3" s="112"/>
      <c r="B3" s="113"/>
      <c r="C3" s="113"/>
      <c r="D3" s="113"/>
      <c r="E3" s="113"/>
      <c r="F3" s="113"/>
      <c r="G3" s="113"/>
      <c r="H3" s="113"/>
      <c r="I3" s="113"/>
      <c r="J3" s="113"/>
      <c r="K3" s="113"/>
      <c r="L3" s="113"/>
      <c r="M3" s="113"/>
      <c r="N3" s="113"/>
      <c r="O3" s="113"/>
      <c r="P3" s="113"/>
      <c r="Q3" s="114"/>
      <c r="R3" s="104"/>
      <c r="S3" s="105"/>
    </row>
    <row r="4" spans="1:20" ht="15" customHeight="1">
      <c r="A4" s="108" t="s">
        <v>3</v>
      </c>
      <c r="B4" s="109"/>
      <c r="C4" s="109"/>
      <c r="D4" s="109"/>
      <c r="E4" s="109"/>
      <c r="F4" s="109"/>
      <c r="G4" s="109"/>
      <c r="H4" s="109"/>
      <c r="I4" s="109"/>
      <c r="J4" s="109"/>
      <c r="K4" s="109"/>
      <c r="L4" s="109"/>
      <c r="M4" s="109"/>
      <c r="N4" s="109"/>
      <c r="O4" s="109"/>
      <c r="P4" s="109"/>
      <c r="Q4" s="110"/>
      <c r="R4" s="104"/>
      <c r="S4" s="105"/>
    </row>
    <row r="5" spans="1:20" ht="15.75" thickBot="1">
      <c r="A5" s="104" t="s">
        <v>4</v>
      </c>
      <c r="B5" s="105"/>
      <c r="C5" s="105"/>
      <c r="D5" s="105"/>
      <c r="E5" s="105"/>
      <c r="F5" s="105"/>
      <c r="G5" s="105"/>
      <c r="H5" s="105"/>
      <c r="I5" s="105"/>
      <c r="J5" s="105"/>
      <c r="K5" s="105"/>
      <c r="L5" s="105"/>
      <c r="M5" s="105"/>
      <c r="N5" s="105"/>
      <c r="O5" s="105"/>
      <c r="P5" s="105"/>
      <c r="Q5" s="111"/>
      <c r="R5" s="106"/>
      <c r="S5" s="107"/>
    </row>
    <row r="6" spans="1:20" ht="15.75" thickBot="1">
      <c r="A6" s="93" t="s">
        <v>5</v>
      </c>
      <c r="B6" s="94"/>
      <c r="C6" s="94"/>
      <c r="D6" s="94"/>
      <c r="E6" s="94"/>
      <c r="F6" s="94"/>
      <c r="G6" s="95"/>
      <c r="H6" s="96" t="s">
        <v>6</v>
      </c>
      <c r="I6" s="97"/>
      <c r="J6" s="98"/>
      <c r="K6" s="96" t="s">
        <v>7</v>
      </c>
      <c r="L6" s="97"/>
      <c r="M6" s="98"/>
      <c r="N6" s="99" t="s">
        <v>8</v>
      </c>
      <c r="O6" s="100"/>
      <c r="P6" s="101"/>
      <c r="Q6" s="102" t="s">
        <v>9</v>
      </c>
      <c r="R6" s="83" t="s">
        <v>10</v>
      </c>
      <c r="S6" s="83" t="s">
        <v>11</v>
      </c>
    </row>
    <row r="7" spans="1:20" s="79" customFormat="1" ht="21">
      <c r="A7" s="78" t="s">
        <v>12</v>
      </c>
      <c r="B7" s="2" t="s">
        <v>13</v>
      </c>
      <c r="C7" s="3" t="s">
        <v>14</v>
      </c>
      <c r="D7" s="3" t="s">
        <v>15</v>
      </c>
      <c r="E7" s="77" t="s">
        <v>16</v>
      </c>
      <c r="F7" s="77" t="s">
        <v>17</v>
      </c>
      <c r="G7" s="4" t="s">
        <v>18</v>
      </c>
      <c r="H7" s="5" t="s">
        <v>19</v>
      </c>
      <c r="I7" s="6" t="s">
        <v>20</v>
      </c>
      <c r="J7" s="5" t="s">
        <v>9</v>
      </c>
      <c r="K7" s="7" t="s">
        <v>19</v>
      </c>
      <c r="L7" s="6" t="s">
        <v>20</v>
      </c>
      <c r="M7" s="7" t="s">
        <v>9</v>
      </c>
      <c r="N7" s="8" t="s">
        <v>19</v>
      </c>
      <c r="O7" s="6" t="s">
        <v>20</v>
      </c>
      <c r="P7" s="8" t="s">
        <v>9</v>
      </c>
      <c r="Q7" s="103"/>
      <c r="R7" s="84"/>
      <c r="S7" s="84"/>
      <c r="T7" s="9"/>
    </row>
    <row r="8" spans="1:20" ht="63">
      <c r="A8" s="10">
        <v>1</v>
      </c>
      <c r="B8" s="9">
        <v>31211904</v>
      </c>
      <c r="C8" s="11" t="s">
        <v>21</v>
      </c>
      <c r="D8" s="12" t="s">
        <v>22</v>
      </c>
      <c r="E8" s="13">
        <v>30</v>
      </c>
      <c r="F8" s="14">
        <v>30</v>
      </c>
      <c r="G8" s="15">
        <f>E8+F8</f>
        <v>60</v>
      </c>
      <c r="H8" s="16">
        <v>7000</v>
      </c>
      <c r="I8" s="17">
        <v>0.19</v>
      </c>
      <c r="J8" s="16">
        <f>H8*G8</f>
        <v>420000</v>
      </c>
      <c r="K8" s="16">
        <v>6000</v>
      </c>
      <c r="L8" s="17">
        <v>0.19</v>
      </c>
      <c r="M8" s="16">
        <f>K8*G8</f>
        <v>360000</v>
      </c>
      <c r="N8" s="18">
        <f>(ROUND(AVERAGE(H8,K8),0))</f>
        <v>6500</v>
      </c>
      <c r="O8" s="19">
        <f>AVERAGE(I8,L8)</f>
        <v>0.19</v>
      </c>
      <c r="P8" s="20">
        <f>ROUND((AVERAGE(J8,M8)),0)</f>
        <v>390000</v>
      </c>
      <c r="Q8" s="21">
        <f>N8*G8</f>
        <v>390000</v>
      </c>
      <c r="R8" s="22">
        <f>(N8*O8)*G8</f>
        <v>74100</v>
      </c>
      <c r="S8" s="23">
        <f>N8+(N8*O8)</f>
        <v>7735</v>
      </c>
      <c r="T8" s="24"/>
    </row>
    <row r="9" spans="1:20" ht="73.5">
      <c r="A9" s="25">
        <v>2</v>
      </c>
      <c r="B9" s="26">
        <v>47131825</v>
      </c>
      <c r="C9" s="26" t="s">
        <v>23</v>
      </c>
      <c r="D9" s="27" t="s">
        <v>24</v>
      </c>
      <c r="E9" s="28">
        <v>30</v>
      </c>
      <c r="F9" s="29">
        <v>30</v>
      </c>
      <c r="G9" s="15">
        <f>E9+F9</f>
        <v>60</v>
      </c>
      <c r="H9" s="30">
        <v>38000</v>
      </c>
      <c r="I9" s="17">
        <v>0.19</v>
      </c>
      <c r="J9" s="16">
        <f t="shared" ref="J9:J29" si="0">H9*G9</f>
        <v>2280000</v>
      </c>
      <c r="K9" s="30">
        <v>35000</v>
      </c>
      <c r="L9" s="17">
        <v>0.19</v>
      </c>
      <c r="M9" s="16">
        <f t="shared" ref="M9:M29" si="1">K9*G9</f>
        <v>2100000</v>
      </c>
      <c r="N9" s="18">
        <f t="shared" ref="N9:N29" si="2">(ROUND(AVERAGE(H9,K9),0))</f>
        <v>36500</v>
      </c>
      <c r="O9" s="19">
        <f t="shared" ref="O9:O29" si="3">AVERAGE(I9,L9)</f>
        <v>0.19</v>
      </c>
      <c r="P9" s="20">
        <f t="shared" ref="P9:P29" si="4">ROUND((AVERAGE(J9,M9)),0)</f>
        <v>2190000</v>
      </c>
      <c r="Q9" s="21">
        <f t="shared" ref="Q9:Q29" si="5">N9*G9</f>
        <v>2190000</v>
      </c>
      <c r="R9" s="22">
        <f t="shared" ref="R9:R29" si="6">(N9*O9)*G9</f>
        <v>416100</v>
      </c>
      <c r="S9" s="23">
        <f t="shared" ref="S9:S29" si="7">N9+(N9*O9)</f>
        <v>43435</v>
      </c>
      <c r="T9" s="24"/>
    </row>
    <row r="10" spans="1:20" ht="63">
      <c r="A10" s="25">
        <v>3</v>
      </c>
      <c r="B10" s="31">
        <v>47131825</v>
      </c>
      <c r="C10" s="31" t="s">
        <v>25</v>
      </c>
      <c r="D10" s="32" t="s">
        <v>26</v>
      </c>
      <c r="E10" s="28">
        <v>30</v>
      </c>
      <c r="F10" s="29">
        <v>30</v>
      </c>
      <c r="G10" s="15">
        <f>E10+F10</f>
        <v>60</v>
      </c>
      <c r="H10" s="30">
        <v>34000</v>
      </c>
      <c r="I10" s="17">
        <v>0.19</v>
      </c>
      <c r="J10" s="16">
        <f t="shared" si="0"/>
        <v>2040000</v>
      </c>
      <c r="K10" s="30">
        <v>32000</v>
      </c>
      <c r="L10" s="17">
        <v>0.19</v>
      </c>
      <c r="M10" s="16">
        <f t="shared" si="1"/>
        <v>1920000</v>
      </c>
      <c r="N10" s="18">
        <f t="shared" si="2"/>
        <v>33000</v>
      </c>
      <c r="O10" s="19">
        <f t="shared" si="3"/>
        <v>0.19</v>
      </c>
      <c r="P10" s="20">
        <f t="shared" si="4"/>
        <v>1980000</v>
      </c>
      <c r="Q10" s="21">
        <f t="shared" si="5"/>
        <v>1980000</v>
      </c>
      <c r="R10" s="22">
        <f t="shared" si="6"/>
        <v>376200</v>
      </c>
      <c r="S10" s="23">
        <f t="shared" si="7"/>
        <v>39270</v>
      </c>
      <c r="T10" s="24"/>
    </row>
    <row r="11" spans="1:20" ht="73.5">
      <c r="A11" s="25">
        <v>4</v>
      </c>
      <c r="B11" s="31">
        <v>47131813</v>
      </c>
      <c r="C11" s="31" t="s">
        <v>27</v>
      </c>
      <c r="D11" s="32" t="s">
        <v>28</v>
      </c>
      <c r="E11" s="28">
        <v>30</v>
      </c>
      <c r="F11" s="29">
        <v>30</v>
      </c>
      <c r="G11" s="15">
        <f>E11+F11</f>
        <v>60</v>
      </c>
      <c r="H11" s="30">
        <v>23000</v>
      </c>
      <c r="I11" s="17">
        <v>0.19</v>
      </c>
      <c r="J11" s="16">
        <f t="shared" si="0"/>
        <v>1380000</v>
      </c>
      <c r="K11" s="30">
        <v>22000</v>
      </c>
      <c r="L11" s="17">
        <v>0.19</v>
      </c>
      <c r="M11" s="16">
        <f t="shared" si="1"/>
        <v>1320000</v>
      </c>
      <c r="N11" s="18">
        <f t="shared" si="2"/>
        <v>22500</v>
      </c>
      <c r="O11" s="19">
        <f t="shared" si="3"/>
        <v>0.19</v>
      </c>
      <c r="P11" s="20">
        <f t="shared" si="4"/>
        <v>1350000</v>
      </c>
      <c r="Q11" s="21">
        <f t="shared" si="5"/>
        <v>1350000</v>
      </c>
      <c r="R11" s="22">
        <f t="shared" si="6"/>
        <v>256500</v>
      </c>
      <c r="S11" s="23">
        <f t="shared" si="7"/>
        <v>26775</v>
      </c>
      <c r="T11" s="24"/>
    </row>
    <row r="12" spans="1:20" ht="73.5">
      <c r="A12" s="25">
        <v>5</v>
      </c>
      <c r="B12" s="31">
        <v>15121905</v>
      </c>
      <c r="C12" s="31" t="s">
        <v>29</v>
      </c>
      <c r="D12" s="32" t="s">
        <v>30</v>
      </c>
      <c r="E12" s="28">
        <v>33</v>
      </c>
      <c r="F12" s="29">
        <v>30</v>
      </c>
      <c r="G12" s="15">
        <f>E12+F12</f>
        <v>63</v>
      </c>
      <c r="H12" s="30">
        <v>25000</v>
      </c>
      <c r="I12" s="17">
        <v>0.19</v>
      </c>
      <c r="J12" s="16">
        <f t="shared" si="0"/>
        <v>1575000</v>
      </c>
      <c r="K12" s="30">
        <v>22000</v>
      </c>
      <c r="L12" s="17">
        <v>0.19</v>
      </c>
      <c r="M12" s="16">
        <f t="shared" si="1"/>
        <v>1386000</v>
      </c>
      <c r="N12" s="18">
        <f t="shared" si="2"/>
        <v>23500</v>
      </c>
      <c r="O12" s="19">
        <f t="shared" si="3"/>
        <v>0.19</v>
      </c>
      <c r="P12" s="20">
        <f t="shared" si="4"/>
        <v>1480500</v>
      </c>
      <c r="Q12" s="21">
        <f t="shared" si="5"/>
        <v>1480500</v>
      </c>
      <c r="R12" s="22">
        <f t="shared" si="6"/>
        <v>281295</v>
      </c>
      <c r="S12" s="23">
        <f t="shared" si="7"/>
        <v>27965</v>
      </c>
      <c r="T12" s="24"/>
    </row>
    <row r="13" spans="1:20" ht="63">
      <c r="A13" s="25">
        <v>6</v>
      </c>
      <c r="B13" s="31">
        <v>13111303</v>
      </c>
      <c r="C13" s="31" t="s">
        <v>31</v>
      </c>
      <c r="D13" s="32" t="s">
        <v>32</v>
      </c>
      <c r="E13" s="28">
        <v>30</v>
      </c>
      <c r="F13" s="29">
        <v>30</v>
      </c>
      <c r="G13" s="15">
        <f>E13+F13</f>
        <v>60</v>
      </c>
      <c r="H13" s="30">
        <v>27000</v>
      </c>
      <c r="I13" s="17">
        <v>0.19</v>
      </c>
      <c r="J13" s="16">
        <f t="shared" si="0"/>
        <v>1620000</v>
      </c>
      <c r="K13" s="30">
        <v>22000</v>
      </c>
      <c r="L13" s="17">
        <v>0.19</v>
      </c>
      <c r="M13" s="16">
        <f t="shared" si="1"/>
        <v>1320000</v>
      </c>
      <c r="N13" s="18">
        <f t="shared" si="2"/>
        <v>24500</v>
      </c>
      <c r="O13" s="19">
        <f t="shared" si="3"/>
        <v>0.19</v>
      </c>
      <c r="P13" s="20">
        <f t="shared" si="4"/>
        <v>1470000</v>
      </c>
      <c r="Q13" s="21">
        <f t="shared" si="5"/>
        <v>1470000</v>
      </c>
      <c r="R13" s="22">
        <f t="shared" si="6"/>
        <v>279300</v>
      </c>
      <c r="S13" s="23">
        <f t="shared" si="7"/>
        <v>29155</v>
      </c>
      <c r="T13" s="24"/>
    </row>
    <row r="14" spans="1:20" ht="336">
      <c r="A14" s="25">
        <v>7</v>
      </c>
      <c r="B14" s="31">
        <v>26121609</v>
      </c>
      <c r="C14" s="31" t="s">
        <v>33</v>
      </c>
      <c r="D14" s="32" t="s">
        <v>34</v>
      </c>
      <c r="E14" s="28">
        <v>4</v>
      </c>
      <c r="F14" s="29">
        <v>3</v>
      </c>
      <c r="G14" s="15">
        <f>E14+F14</f>
        <v>7</v>
      </c>
      <c r="H14" s="30">
        <v>420000</v>
      </c>
      <c r="I14" s="17">
        <v>0.19</v>
      </c>
      <c r="J14" s="16">
        <f t="shared" si="0"/>
        <v>2940000</v>
      </c>
      <c r="K14" s="30">
        <v>390000</v>
      </c>
      <c r="L14" s="17">
        <v>0.19</v>
      </c>
      <c r="M14" s="16">
        <f t="shared" si="1"/>
        <v>2730000</v>
      </c>
      <c r="N14" s="18">
        <f t="shared" si="2"/>
        <v>405000</v>
      </c>
      <c r="O14" s="19">
        <f t="shared" si="3"/>
        <v>0.19</v>
      </c>
      <c r="P14" s="20">
        <f t="shared" si="4"/>
        <v>2835000</v>
      </c>
      <c r="Q14" s="21">
        <f t="shared" si="5"/>
        <v>2835000</v>
      </c>
      <c r="R14" s="22">
        <f t="shared" si="6"/>
        <v>538650</v>
      </c>
      <c r="S14" s="23">
        <f t="shared" si="7"/>
        <v>481950</v>
      </c>
      <c r="T14" s="24"/>
    </row>
    <row r="15" spans="1:20" ht="315">
      <c r="A15" s="25">
        <v>8</v>
      </c>
      <c r="B15" s="31">
        <v>26121609</v>
      </c>
      <c r="C15" s="31" t="s">
        <v>35</v>
      </c>
      <c r="D15" s="32" t="s">
        <v>36</v>
      </c>
      <c r="E15" s="28">
        <v>4</v>
      </c>
      <c r="F15" s="29">
        <v>2</v>
      </c>
      <c r="G15" s="15">
        <f>E15+F15</f>
        <v>6</v>
      </c>
      <c r="H15" s="30">
        <v>1050000</v>
      </c>
      <c r="I15" s="17">
        <v>0.19</v>
      </c>
      <c r="J15" s="16">
        <f t="shared" si="0"/>
        <v>6300000</v>
      </c>
      <c r="K15" s="30">
        <v>910000</v>
      </c>
      <c r="L15" s="17">
        <v>0.19</v>
      </c>
      <c r="M15" s="16">
        <f t="shared" si="1"/>
        <v>5460000</v>
      </c>
      <c r="N15" s="18">
        <f t="shared" si="2"/>
        <v>980000</v>
      </c>
      <c r="O15" s="19">
        <f t="shared" si="3"/>
        <v>0.19</v>
      </c>
      <c r="P15" s="20">
        <f t="shared" si="4"/>
        <v>5880000</v>
      </c>
      <c r="Q15" s="21">
        <f t="shared" si="5"/>
        <v>5880000</v>
      </c>
      <c r="R15" s="22">
        <f t="shared" si="6"/>
        <v>1117200</v>
      </c>
      <c r="S15" s="23">
        <f t="shared" si="7"/>
        <v>1166200</v>
      </c>
      <c r="T15" s="24"/>
    </row>
    <row r="16" spans="1:20" ht="52.5">
      <c r="A16" s="25">
        <v>9</v>
      </c>
      <c r="B16" s="31">
        <v>39121462</v>
      </c>
      <c r="C16" s="31" t="s">
        <v>37</v>
      </c>
      <c r="D16" s="32" t="s">
        <v>38</v>
      </c>
      <c r="E16" s="28">
        <v>4</v>
      </c>
      <c r="F16" s="29">
        <v>6</v>
      </c>
      <c r="G16" s="15">
        <f>E16+F16</f>
        <v>10</v>
      </c>
      <c r="H16" s="30">
        <v>100000</v>
      </c>
      <c r="I16" s="17">
        <v>0.19</v>
      </c>
      <c r="J16" s="16">
        <f t="shared" si="0"/>
        <v>1000000</v>
      </c>
      <c r="K16" s="30">
        <v>85000</v>
      </c>
      <c r="L16" s="17">
        <v>0.19</v>
      </c>
      <c r="M16" s="16">
        <f t="shared" si="1"/>
        <v>850000</v>
      </c>
      <c r="N16" s="18">
        <f t="shared" si="2"/>
        <v>92500</v>
      </c>
      <c r="O16" s="19">
        <f t="shared" si="3"/>
        <v>0.19</v>
      </c>
      <c r="P16" s="20">
        <f t="shared" si="4"/>
        <v>925000</v>
      </c>
      <c r="Q16" s="21">
        <f t="shared" si="5"/>
        <v>925000</v>
      </c>
      <c r="R16" s="22">
        <f t="shared" si="6"/>
        <v>175750</v>
      </c>
      <c r="S16" s="23">
        <f t="shared" si="7"/>
        <v>110075</v>
      </c>
      <c r="T16" s="24"/>
    </row>
    <row r="17" spans="1:20" ht="52.5">
      <c r="A17" s="25">
        <v>10</v>
      </c>
      <c r="B17" s="31">
        <v>39121462</v>
      </c>
      <c r="C17" s="31" t="s">
        <v>39</v>
      </c>
      <c r="D17" s="32" t="s">
        <v>38</v>
      </c>
      <c r="E17" s="28">
        <v>4</v>
      </c>
      <c r="F17" s="29">
        <v>6</v>
      </c>
      <c r="G17" s="15">
        <f>E17+F17</f>
        <v>10</v>
      </c>
      <c r="H17" s="30">
        <v>105000</v>
      </c>
      <c r="I17" s="17">
        <v>0.19</v>
      </c>
      <c r="J17" s="16">
        <f t="shared" si="0"/>
        <v>1050000</v>
      </c>
      <c r="K17" s="30">
        <v>85000</v>
      </c>
      <c r="L17" s="17">
        <v>0.19</v>
      </c>
      <c r="M17" s="16">
        <f t="shared" si="1"/>
        <v>850000</v>
      </c>
      <c r="N17" s="18">
        <f t="shared" si="2"/>
        <v>95000</v>
      </c>
      <c r="O17" s="19">
        <f t="shared" si="3"/>
        <v>0.19</v>
      </c>
      <c r="P17" s="20">
        <f t="shared" si="4"/>
        <v>950000</v>
      </c>
      <c r="Q17" s="21">
        <f t="shared" si="5"/>
        <v>950000</v>
      </c>
      <c r="R17" s="22">
        <f t="shared" si="6"/>
        <v>180500</v>
      </c>
      <c r="S17" s="23">
        <f t="shared" si="7"/>
        <v>113050</v>
      </c>
      <c r="T17" s="24"/>
    </row>
    <row r="18" spans="1:20" ht="21">
      <c r="A18" s="25">
        <v>11</v>
      </c>
      <c r="B18" s="31">
        <v>23241616</v>
      </c>
      <c r="C18" s="31" t="s">
        <v>40</v>
      </c>
      <c r="D18" s="32" t="s">
        <v>41</v>
      </c>
      <c r="E18" s="28">
        <v>16</v>
      </c>
      <c r="F18" s="29">
        <v>25</v>
      </c>
      <c r="G18" s="15">
        <f>E18+F18</f>
        <v>41</v>
      </c>
      <c r="H18" s="30">
        <v>60000</v>
      </c>
      <c r="I18" s="17">
        <v>0.19</v>
      </c>
      <c r="J18" s="16">
        <f t="shared" si="0"/>
        <v>2460000</v>
      </c>
      <c r="K18" s="30">
        <v>48000</v>
      </c>
      <c r="L18" s="17">
        <v>0.19</v>
      </c>
      <c r="M18" s="16">
        <f t="shared" si="1"/>
        <v>1968000</v>
      </c>
      <c r="N18" s="18">
        <f t="shared" si="2"/>
        <v>54000</v>
      </c>
      <c r="O18" s="19">
        <f t="shared" si="3"/>
        <v>0.19</v>
      </c>
      <c r="P18" s="20">
        <f t="shared" si="4"/>
        <v>2214000</v>
      </c>
      <c r="Q18" s="21">
        <f t="shared" si="5"/>
        <v>2214000</v>
      </c>
      <c r="R18" s="22">
        <f t="shared" si="6"/>
        <v>420660</v>
      </c>
      <c r="S18" s="23">
        <f t="shared" si="7"/>
        <v>64260</v>
      </c>
      <c r="T18" s="24"/>
    </row>
    <row r="19" spans="1:20" ht="31.5">
      <c r="A19" s="25">
        <v>12</v>
      </c>
      <c r="B19" s="31">
        <v>23301501</v>
      </c>
      <c r="C19" s="31" t="s">
        <v>42</v>
      </c>
      <c r="D19" s="32" t="s">
        <v>43</v>
      </c>
      <c r="E19" s="28">
        <v>30</v>
      </c>
      <c r="F19" s="29">
        <v>30</v>
      </c>
      <c r="G19" s="15">
        <f>E19+F19</f>
        <v>60</v>
      </c>
      <c r="H19" s="30">
        <v>90000</v>
      </c>
      <c r="I19" s="17">
        <v>0.19</v>
      </c>
      <c r="J19" s="16">
        <f t="shared" si="0"/>
        <v>5400000</v>
      </c>
      <c r="K19" s="30">
        <v>85000</v>
      </c>
      <c r="L19" s="17">
        <v>0.19</v>
      </c>
      <c r="M19" s="16">
        <f t="shared" si="1"/>
        <v>5100000</v>
      </c>
      <c r="N19" s="18">
        <f t="shared" si="2"/>
        <v>87500</v>
      </c>
      <c r="O19" s="33">
        <f t="shared" si="3"/>
        <v>0.19</v>
      </c>
      <c r="P19" s="20">
        <f t="shared" si="4"/>
        <v>5250000</v>
      </c>
      <c r="Q19" s="21">
        <f t="shared" si="5"/>
        <v>5250000</v>
      </c>
      <c r="R19" s="22">
        <f t="shared" si="6"/>
        <v>997500</v>
      </c>
      <c r="S19" s="23">
        <f t="shared" si="7"/>
        <v>104125</v>
      </c>
      <c r="T19" s="24"/>
    </row>
    <row r="20" spans="1:20" ht="189">
      <c r="A20" s="25">
        <v>13</v>
      </c>
      <c r="B20" s="31">
        <v>27111801</v>
      </c>
      <c r="C20" s="31" t="s">
        <v>44</v>
      </c>
      <c r="D20" s="32" t="s">
        <v>45</v>
      </c>
      <c r="E20" s="28">
        <v>30</v>
      </c>
      <c r="F20" s="29">
        <v>30</v>
      </c>
      <c r="G20" s="15">
        <f>E20+F20</f>
        <v>60</v>
      </c>
      <c r="H20" s="30">
        <v>30000</v>
      </c>
      <c r="I20" s="17">
        <v>0.19</v>
      </c>
      <c r="J20" s="16">
        <f t="shared" si="0"/>
        <v>1800000</v>
      </c>
      <c r="K20" s="30">
        <v>40000</v>
      </c>
      <c r="L20" s="17">
        <v>0.19</v>
      </c>
      <c r="M20" s="16">
        <f t="shared" si="1"/>
        <v>2400000</v>
      </c>
      <c r="N20" s="18">
        <f t="shared" si="2"/>
        <v>35000</v>
      </c>
      <c r="O20" s="19">
        <f t="shared" si="3"/>
        <v>0.19</v>
      </c>
      <c r="P20" s="20">
        <f t="shared" si="4"/>
        <v>2100000</v>
      </c>
      <c r="Q20" s="21">
        <f t="shared" si="5"/>
        <v>2100000</v>
      </c>
      <c r="R20" s="22">
        <f t="shared" si="6"/>
        <v>399000</v>
      </c>
      <c r="S20" s="23">
        <f t="shared" si="7"/>
        <v>41650</v>
      </c>
      <c r="T20" s="24"/>
    </row>
    <row r="21" spans="1:20" ht="42">
      <c r="A21" s="25">
        <v>14</v>
      </c>
      <c r="B21" s="31">
        <v>43223343</v>
      </c>
      <c r="C21" s="31" t="s">
        <v>46</v>
      </c>
      <c r="D21" s="27" t="s">
        <v>47</v>
      </c>
      <c r="E21" s="28">
        <v>30</v>
      </c>
      <c r="F21" s="29">
        <v>25</v>
      </c>
      <c r="G21" s="15">
        <f>E21+F21</f>
        <v>55</v>
      </c>
      <c r="H21" s="30">
        <v>60000</v>
      </c>
      <c r="I21" s="17">
        <v>0.19</v>
      </c>
      <c r="J21" s="16">
        <f t="shared" si="0"/>
        <v>3300000</v>
      </c>
      <c r="K21" s="30">
        <v>52000</v>
      </c>
      <c r="L21" s="17">
        <v>0.19</v>
      </c>
      <c r="M21" s="16">
        <f t="shared" si="1"/>
        <v>2860000</v>
      </c>
      <c r="N21" s="18">
        <f t="shared" si="2"/>
        <v>56000</v>
      </c>
      <c r="O21" s="19">
        <f t="shared" si="3"/>
        <v>0.19</v>
      </c>
      <c r="P21" s="20">
        <f t="shared" si="4"/>
        <v>3080000</v>
      </c>
      <c r="Q21" s="21">
        <f t="shared" si="5"/>
        <v>3080000</v>
      </c>
      <c r="R21" s="22">
        <f t="shared" si="6"/>
        <v>585200</v>
      </c>
      <c r="S21" s="23">
        <f t="shared" si="7"/>
        <v>66640</v>
      </c>
      <c r="T21" s="24"/>
    </row>
    <row r="22" spans="1:20" ht="94.5">
      <c r="A22" s="25">
        <v>15</v>
      </c>
      <c r="B22" s="31">
        <v>39121462</v>
      </c>
      <c r="C22" s="31" t="s">
        <v>48</v>
      </c>
      <c r="D22" s="32" t="s">
        <v>49</v>
      </c>
      <c r="E22" s="28">
        <v>30</v>
      </c>
      <c r="F22" s="29">
        <v>25</v>
      </c>
      <c r="G22" s="15">
        <f>E22+F22</f>
        <v>55</v>
      </c>
      <c r="H22" s="30">
        <v>30</v>
      </c>
      <c r="I22" s="17">
        <v>0.19</v>
      </c>
      <c r="J22" s="16">
        <f t="shared" si="0"/>
        <v>1650</v>
      </c>
      <c r="K22" s="30">
        <v>24000</v>
      </c>
      <c r="L22" s="17">
        <v>0.19</v>
      </c>
      <c r="M22" s="16">
        <f t="shared" si="1"/>
        <v>1320000</v>
      </c>
      <c r="N22" s="18">
        <f t="shared" si="2"/>
        <v>12015</v>
      </c>
      <c r="O22" s="19">
        <f t="shared" si="3"/>
        <v>0.19</v>
      </c>
      <c r="P22" s="20">
        <f t="shared" si="4"/>
        <v>660825</v>
      </c>
      <c r="Q22" s="21">
        <f t="shared" si="5"/>
        <v>660825</v>
      </c>
      <c r="R22" s="22">
        <f t="shared" si="6"/>
        <v>125556.75</v>
      </c>
      <c r="S22" s="23">
        <f t="shared" si="7"/>
        <v>14297.85</v>
      </c>
      <c r="T22" s="24"/>
    </row>
    <row r="23" spans="1:20" ht="94.5">
      <c r="A23" s="25">
        <v>16</v>
      </c>
      <c r="B23" s="31">
        <v>39121462</v>
      </c>
      <c r="C23" s="31" t="s">
        <v>50</v>
      </c>
      <c r="D23" s="32" t="s">
        <v>51</v>
      </c>
      <c r="E23" s="28">
        <v>30</v>
      </c>
      <c r="F23" s="29">
        <v>25</v>
      </c>
      <c r="G23" s="15">
        <f>E23+F23</f>
        <v>55</v>
      </c>
      <c r="H23" s="30">
        <v>20000</v>
      </c>
      <c r="I23" s="17">
        <v>0.19</v>
      </c>
      <c r="J23" s="16">
        <f t="shared" si="0"/>
        <v>1100000</v>
      </c>
      <c r="K23" s="30">
        <v>26000</v>
      </c>
      <c r="L23" s="17">
        <v>0.19</v>
      </c>
      <c r="M23" s="16">
        <f t="shared" si="1"/>
        <v>1430000</v>
      </c>
      <c r="N23" s="18">
        <f t="shared" si="2"/>
        <v>23000</v>
      </c>
      <c r="O23" s="19">
        <f t="shared" si="3"/>
        <v>0.19</v>
      </c>
      <c r="P23" s="20">
        <f t="shared" si="4"/>
        <v>1265000</v>
      </c>
      <c r="Q23" s="21">
        <f t="shared" si="5"/>
        <v>1265000</v>
      </c>
      <c r="R23" s="22">
        <f t="shared" si="6"/>
        <v>240350</v>
      </c>
      <c r="S23" s="23">
        <f t="shared" si="7"/>
        <v>27370</v>
      </c>
      <c r="T23" s="24"/>
    </row>
    <row r="24" spans="1:20" ht="31.5">
      <c r="A24" s="25">
        <v>17</v>
      </c>
      <c r="B24" s="31">
        <v>46182101</v>
      </c>
      <c r="C24" s="31" t="s">
        <v>52</v>
      </c>
      <c r="D24" s="27" t="s">
        <v>53</v>
      </c>
      <c r="E24" s="28">
        <v>30</v>
      </c>
      <c r="F24" s="29">
        <v>25</v>
      </c>
      <c r="G24" s="15">
        <f>E24+F24</f>
        <v>55</v>
      </c>
      <c r="H24" s="30">
        <v>30000</v>
      </c>
      <c r="I24" s="17">
        <v>0.19</v>
      </c>
      <c r="J24" s="16">
        <f t="shared" si="0"/>
        <v>1650000</v>
      </c>
      <c r="K24" s="30">
        <v>24000</v>
      </c>
      <c r="L24" s="17">
        <v>0.19</v>
      </c>
      <c r="M24" s="16">
        <f t="shared" si="1"/>
        <v>1320000</v>
      </c>
      <c r="N24" s="18">
        <f t="shared" si="2"/>
        <v>27000</v>
      </c>
      <c r="O24" s="19">
        <f t="shared" si="3"/>
        <v>0.19</v>
      </c>
      <c r="P24" s="20">
        <f t="shared" si="4"/>
        <v>1485000</v>
      </c>
      <c r="Q24" s="21">
        <f t="shared" si="5"/>
        <v>1485000</v>
      </c>
      <c r="R24" s="22">
        <f t="shared" si="6"/>
        <v>282150</v>
      </c>
      <c r="S24" s="23">
        <f t="shared" si="7"/>
        <v>32130</v>
      </c>
      <c r="T24" s="24"/>
    </row>
    <row r="25" spans="1:20" ht="94.5">
      <c r="A25" s="25">
        <v>18</v>
      </c>
      <c r="B25" s="31">
        <v>39121311</v>
      </c>
      <c r="C25" s="31" t="s">
        <v>54</v>
      </c>
      <c r="D25" s="32" t="s">
        <v>55</v>
      </c>
      <c r="E25" s="28">
        <v>20</v>
      </c>
      <c r="F25" s="29">
        <v>15</v>
      </c>
      <c r="G25" s="15">
        <f>E25+F25</f>
        <v>35</v>
      </c>
      <c r="H25" s="30">
        <v>35000</v>
      </c>
      <c r="I25" s="17">
        <v>0.19</v>
      </c>
      <c r="J25" s="16">
        <f t="shared" si="0"/>
        <v>1225000</v>
      </c>
      <c r="K25" s="30">
        <v>32000</v>
      </c>
      <c r="L25" s="17">
        <v>0.19</v>
      </c>
      <c r="M25" s="16">
        <f t="shared" si="1"/>
        <v>1120000</v>
      </c>
      <c r="N25" s="18">
        <f t="shared" si="2"/>
        <v>33500</v>
      </c>
      <c r="O25" s="19">
        <f t="shared" si="3"/>
        <v>0.19</v>
      </c>
      <c r="P25" s="20">
        <f t="shared" si="4"/>
        <v>1172500</v>
      </c>
      <c r="Q25" s="21">
        <f t="shared" si="5"/>
        <v>1172500</v>
      </c>
      <c r="R25" s="22">
        <f t="shared" si="6"/>
        <v>222775</v>
      </c>
      <c r="S25" s="23">
        <f t="shared" si="7"/>
        <v>39865</v>
      </c>
      <c r="T25" s="24"/>
    </row>
    <row r="26" spans="1:20" ht="42">
      <c r="A26" s="25">
        <v>19</v>
      </c>
      <c r="B26" s="31">
        <v>43222643</v>
      </c>
      <c r="C26" s="31" t="s">
        <v>56</v>
      </c>
      <c r="D26" s="32" t="s">
        <v>57</v>
      </c>
      <c r="E26" s="28">
        <v>20</v>
      </c>
      <c r="F26" s="29">
        <v>20</v>
      </c>
      <c r="G26" s="15">
        <f>E26+F26</f>
        <v>40</v>
      </c>
      <c r="H26" s="30">
        <v>40000</v>
      </c>
      <c r="I26" s="17">
        <v>0.19</v>
      </c>
      <c r="J26" s="16">
        <f t="shared" si="0"/>
        <v>1600000</v>
      </c>
      <c r="K26" s="30">
        <v>38000</v>
      </c>
      <c r="L26" s="17">
        <v>0.19</v>
      </c>
      <c r="M26" s="16">
        <f t="shared" si="1"/>
        <v>1520000</v>
      </c>
      <c r="N26" s="18">
        <f t="shared" si="2"/>
        <v>39000</v>
      </c>
      <c r="O26" s="33">
        <f t="shared" si="3"/>
        <v>0.19</v>
      </c>
      <c r="P26" s="20">
        <f t="shared" si="4"/>
        <v>1560000</v>
      </c>
      <c r="Q26" s="21">
        <f t="shared" si="5"/>
        <v>1560000</v>
      </c>
      <c r="R26" s="22">
        <f t="shared" si="6"/>
        <v>296400</v>
      </c>
      <c r="S26" s="23">
        <f t="shared" si="7"/>
        <v>46410</v>
      </c>
      <c r="T26" s="24"/>
    </row>
    <row r="27" spans="1:20" ht="42">
      <c r="A27" s="25">
        <v>20</v>
      </c>
      <c r="B27" s="31">
        <v>39121632</v>
      </c>
      <c r="C27" s="31" t="s">
        <v>58</v>
      </c>
      <c r="D27" s="27" t="s">
        <v>59</v>
      </c>
      <c r="E27" s="28">
        <v>4</v>
      </c>
      <c r="F27" s="29">
        <v>6</v>
      </c>
      <c r="G27" s="15">
        <f>E27+F27</f>
        <v>10</v>
      </c>
      <c r="H27" s="30">
        <v>70000</v>
      </c>
      <c r="I27" s="17">
        <v>0.19</v>
      </c>
      <c r="J27" s="16">
        <f t="shared" si="0"/>
        <v>700000</v>
      </c>
      <c r="K27" s="30">
        <v>65000</v>
      </c>
      <c r="L27" s="17">
        <v>0.19</v>
      </c>
      <c r="M27" s="16">
        <f t="shared" si="1"/>
        <v>650000</v>
      </c>
      <c r="N27" s="18">
        <f t="shared" si="2"/>
        <v>67500</v>
      </c>
      <c r="O27" s="33">
        <f t="shared" si="3"/>
        <v>0.19</v>
      </c>
      <c r="P27" s="20">
        <f t="shared" si="4"/>
        <v>675000</v>
      </c>
      <c r="Q27" s="21">
        <f t="shared" si="5"/>
        <v>675000</v>
      </c>
      <c r="R27" s="22">
        <f t="shared" si="6"/>
        <v>128250</v>
      </c>
      <c r="S27" s="23">
        <f t="shared" si="7"/>
        <v>80325</v>
      </c>
      <c r="T27" s="24"/>
    </row>
    <row r="28" spans="1:20" ht="31.5">
      <c r="A28" s="25">
        <v>21</v>
      </c>
      <c r="B28" s="31">
        <v>47131501</v>
      </c>
      <c r="C28" s="31" t="s">
        <v>60</v>
      </c>
      <c r="D28" s="27" t="s">
        <v>61</v>
      </c>
      <c r="E28" s="28">
        <v>20</v>
      </c>
      <c r="F28" s="29">
        <v>25</v>
      </c>
      <c r="G28" s="15">
        <f>E28+F28</f>
        <v>45</v>
      </c>
      <c r="H28" s="30">
        <v>14000</v>
      </c>
      <c r="I28" s="17">
        <v>0.19</v>
      </c>
      <c r="J28" s="16">
        <f t="shared" si="0"/>
        <v>630000</v>
      </c>
      <c r="K28" s="30">
        <v>11000</v>
      </c>
      <c r="L28" s="17">
        <v>0.19</v>
      </c>
      <c r="M28" s="16">
        <f t="shared" si="1"/>
        <v>495000</v>
      </c>
      <c r="N28" s="18">
        <f t="shared" si="2"/>
        <v>12500</v>
      </c>
      <c r="O28" s="19">
        <f t="shared" si="3"/>
        <v>0.19</v>
      </c>
      <c r="P28" s="20">
        <f t="shared" si="4"/>
        <v>562500</v>
      </c>
      <c r="Q28" s="21">
        <f t="shared" si="5"/>
        <v>562500</v>
      </c>
      <c r="R28" s="22">
        <f t="shared" si="6"/>
        <v>106875</v>
      </c>
      <c r="S28" s="23">
        <f t="shared" si="7"/>
        <v>14875</v>
      </c>
      <c r="T28" s="24"/>
    </row>
    <row r="29" spans="1:20" ht="304.5">
      <c r="A29" s="25">
        <v>22</v>
      </c>
      <c r="B29" s="31">
        <v>41113630</v>
      </c>
      <c r="C29" s="31" t="s">
        <v>62</v>
      </c>
      <c r="D29" s="27" t="s">
        <v>63</v>
      </c>
      <c r="E29" s="28">
        <v>11</v>
      </c>
      <c r="F29" s="29">
        <v>5</v>
      </c>
      <c r="G29" s="15">
        <f>E29+F29</f>
        <v>16</v>
      </c>
      <c r="H29" s="30">
        <v>450000</v>
      </c>
      <c r="I29" s="17">
        <v>0.19</v>
      </c>
      <c r="J29" s="16">
        <f t="shared" si="0"/>
        <v>7200000</v>
      </c>
      <c r="K29" s="30">
        <v>410000</v>
      </c>
      <c r="L29" s="17">
        <v>0.19</v>
      </c>
      <c r="M29" s="16">
        <f t="shared" si="1"/>
        <v>6560000</v>
      </c>
      <c r="N29" s="18">
        <f t="shared" si="2"/>
        <v>430000</v>
      </c>
      <c r="O29" s="19">
        <f t="shared" si="3"/>
        <v>0.19</v>
      </c>
      <c r="P29" s="20">
        <f t="shared" si="4"/>
        <v>6880000</v>
      </c>
      <c r="Q29" s="21">
        <f t="shared" si="5"/>
        <v>6880000</v>
      </c>
      <c r="R29" s="22">
        <f t="shared" si="6"/>
        <v>1307200</v>
      </c>
      <c r="S29" s="23">
        <f t="shared" si="7"/>
        <v>511700</v>
      </c>
      <c r="T29" s="24"/>
    </row>
    <row r="30" spans="1:20" ht="15.75" thickBot="1">
      <c r="A30" s="85" t="s">
        <v>64</v>
      </c>
      <c r="B30" s="86"/>
      <c r="C30" s="86"/>
      <c r="D30" s="86"/>
      <c r="E30" s="86"/>
      <c r="F30" s="86"/>
      <c r="G30" s="86"/>
      <c r="H30" s="86"/>
      <c r="I30" s="86"/>
      <c r="J30" s="86"/>
      <c r="K30" s="86"/>
      <c r="L30" s="86"/>
      <c r="M30" s="86"/>
      <c r="N30" s="34"/>
      <c r="O30" s="34"/>
      <c r="P30" s="35"/>
      <c r="Q30" s="36">
        <f>SUM(Q8:Q29)</f>
        <v>46355325</v>
      </c>
      <c r="R30" s="37"/>
      <c r="S30" s="37"/>
      <c r="T30" s="37"/>
    </row>
    <row r="31" spans="1:20" ht="15.75" thickBot="1">
      <c r="A31" s="87" t="s">
        <v>65</v>
      </c>
      <c r="B31" s="88"/>
      <c r="C31" s="88"/>
      <c r="D31" s="88"/>
      <c r="E31" s="88"/>
      <c r="F31" s="88"/>
      <c r="G31" s="88"/>
      <c r="H31" s="88"/>
      <c r="I31" s="88"/>
      <c r="J31" s="88"/>
      <c r="K31" s="88"/>
      <c r="L31" s="88"/>
      <c r="M31" s="88"/>
      <c r="N31" s="88"/>
      <c r="O31" s="88"/>
      <c r="P31" s="89"/>
      <c r="Q31" s="38">
        <f>SUM(R8:R29)</f>
        <v>8807511.75</v>
      </c>
      <c r="R31" s="37"/>
      <c r="S31" s="37"/>
      <c r="T31" s="37"/>
    </row>
    <row r="32" spans="1:20">
      <c r="A32" s="90" t="s">
        <v>66</v>
      </c>
      <c r="B32" s="91"/>
      <c r="C32" s="91"/>
      <c r="D32" s="91"/>
      <c r="E32" s="91"/>
      <c r="F32" s="91"/>
      <c r="G32" s="91"/>
      <c r="H32" s="91"/>
      <c r="I32" s="91"/>
      <c r="J32" s="91"/>
      <c r="K32" s="91"/>
      <c r="L32" s="91"/>
      <c r="M32" s="91"/>
      <c r="N32" s="91"/>
      <c r="O32" s="91"/>
      <c r="P32" s="92"/>
      <c r="Q32" s="38">
        <f xml:space="preserve"> ROUND(SUM(Q30:Q31),0.2)</f>
        <v>55162837</v>
      </c>
      <c r="R32" s="37"/>
      <c r="S32" s="37"/>
      <c r="T32" s="37"/>
    </row>
    <row r="33" spans="1:20">
      <c r="A33" s="39"/>
      <c r="B33" s="40"/>
      <c r="C33" s="40"/>
      <c r="D33" s="40"/>
      <c r="E33" s="40"/>
      <c r="F33" s="40"/>
      <c r="G33" s="40"/>
      <c r="H33" s="41"/>
      <c r="I33" s="42"/>
      <c r="J33" s="41"/>
      <c r="K33" s="40"/>
      <c r="L33" s="40"/>
      <c r="M33" s="40"/>
      <c r="N33" s="43"/>
      <c r="O33" s="42"/>
      <c r="P33" s="43"/>
      <c r="Q33" s="44"/>
      <c r="R33" s="9"/>
      <c r="S33" s="9"/>
      <c r="T33" s="9"/>
    </row>
    <row r="34" spans="1:20">
      <c r="A34" s="45"/>
      <c r="B34" s="46"/>
      <c r="C34" s="46"/>
      <c r="D34" s="46"/>
      <c r="E34" s="46"/>
      <c r="F34" s="46"/>
      <c r="G34" s="46"/>
      <c r="H34" s="47"/>
      <c r="I34" s="48"/>
      <c r="J34" s="47"/>
      <c r="K34" s="46"/>
      <c r="L34" s="46"/>
      <c r="M34" s="46"/>
      <c r="N34" s="49"/>
      <c r="O34" s="48"/>
      <c r="P34" s="49"/>
      <c r="Q34" s="50"/>
      <c r="R34" s="9"/>
      <c r="S34" s="9"/>
      <c r="T34" s="9"/>
    </row>
    <row r="35" spans="1:20">
      <c r="A35" s="45"/>
      <c r="B35" s="46"/>
      <c r="C35" s="46"/>
      <c r="D35" s="46"/>
      <c r="E35" s="46"/>
      <c r="F35" s="46"/>
      <c r="G35" s="46"/>
      <c r="H35" s="51"/>
      <c r="I35" s="52"/>
      <c r="J35" s="51"/>
      <c r="K35" s="53"/>
      <c r="L35" s="53"/>
      <c r="M35" s="53"/>
      <c r="N35" s="54"/>
      <c r="O35" s="55"/>
      <c r="P35" s="56"/>
      <c r="Q35" s="57"/>
      <c r="R35" s="9"/>
      <c r="S35" s="9"/>
      <c r="T35" s="9"/>
    </row>
    <row r="36" spans="1:20">
      <c r="A36" s="45"/>
      <c r="B36" s="46"/>
      <c r="C36" s="46"/>
      <c r="D36" s="46"/>
      <c r="E36" s="46"/>
      <c r="F36" s="46"/>
      <c r="G36" s="46"/>
      <c r="H36" s="51"/>
      <c r="I36" s="52"/>
      <c r="J36" s="51"/>
      <c r="K36" s="53"/>
      <c r="L36" s="53"/>
      <c r="M36" s="53"/>
      <c r="N36" s="54"/>
      <c r="O36" s="55"/>
      <c r="P36" s="58"/>
      <c r="Q36" s="59"/>
      <c r="R36" s="9"/>
      <c r="S36" s="9"/>
      <c r="T36" s="9"/>
    </row>
    <row r="37" spans="1:20">
      <c r="A37" s="60"/>
      <c r="B37" s="61"/>
      <c r="C37" s="61"/>
      <c r="D37" s="61"/>
      <c r="E37" s="61"/>
      <c r="F37" s="61"/>
      <c r="G37" s="61"/>
      <c r="H37" s="62"/>
      <c r="I37" s="63"/>
      <c r="J37" s="62"/>
      <c r="K37" s="64"/>
      <c r="L37" s="64"/>
      <c r="M37" s="64"/>
      <c r="N37" s="65"/>
      <c r="O37" s="66"/>
      <c r="P37" s="67"/>
      <c r="Q37" s="68"/>
      <c r="R37" s="9"/>
      <c r="S37" s="9"/>
      <c r="T37" s="9"/>
    </row>
    <row r="38" spans="1:20">
      <c r="R38" s="9"/>
      <c r="S38" s="9"/>
      <c r="T38" s="9"/>
    </row>
    <row r="39" spans="1:20">
      <c r="R39" s="9"/>
      <c r="S39" s="9"/>
      <c r="T39" s="9"/>
    </row>
    <row r="40" spans="1:20">
      <c r="R40" s="9"/>
      <c r="S40" s="9"/>
      <c r="T40" s="9"/>
    </row>
    <row r="41" spans="1:20">
      <c r="R41" s="9"/>
      <c r="S41" s="9"/>
      <c r="T41" s="9"/>
    </row>
    <row r="42" spans="1:20">
      <c r="R42" s="9"/>
      <c r="S42" s="9"/>
      <c r="T42" s="9"/>
    </row>
    <row r="43" spans="1:20">
      <c r="R43" s="9"/>
      <c r="S43" s="9"/>
      <c r="T43" s="9"/>
    </row>
    <row r="44" spans="1:20">
      <c r="R44" s="9"/>
      <c r="S44" s="9"/>
      <c r="T44" s="9"/>
    </row>
    <row r="45" spans="1:20">
      <c r="R45" s="9"/>
      <c r="S45" s="9"/>
      <c r="T45" s="9"/>
    </row>
    <row r="46" spans="1:20">
      <c r="R46" s="9"/>
      <c r="S46" s="9"/>
      <c r="T46" s="9"/>
    </row>
    <row r="47" spans="1:20">
      <c r="R47" s="9"/>
      <c r="S47" s="9"/>
      <c r="T47" s="9"/>
    </row>
    <row r="48" spans="1:20">
      <c r="R48" s="9"/>
      <c r="S48" s="9"/>
      <c r="T48" s="9"/>
    </row>
    <row r="49" spans="18:20">
      <c r="R49" s="9"/>
      <c r="S49" s="9"/>
      <c r="T49" s="9"/>
    </row>
    <row r="50" spans="18:20">
      <c r="R50" s="9"/>
      <c r="S50" s="9"/>
      <c r="T50" s="9"/>
    </row>
    <row r="51" spans="18:20">
      <c r="R51" s="9"/>
      <c r="S51" s="9"/>
      <c r="T51" s="9"/>
    </row>
    <row r="52" spans="18:20">
      <c r="R52" s="9"/>
      <c r="S52" s="9"/>
      <c r="T52" s="9"/>
    </row>
    <row r="53" spans="18:20">
      <c r="R53" s="9"/>
      <c r="S53" s="9"/>
      <c r="T53" s="9"/>
    </row>
    <row r="54" spans="18:20">
      <c r="R54" s="9"/>
      <c r="S54" s="9"/>
      <c r="T54" s="9"/>
    </row>
    <row r="55" spans="18:20">
      <c r="R55" s="9"/>
      <c r="S55" s="9"/>
      <c r="T55" s="9"/>
    </row>
    <row r="56" spans="18:20">
      <c r="R56" s="9"/>
      <c r="S56" s="9"/>
      <c r="T56" s="9"/>
    </row>
    <row r="57" spans="18:20">
      <c r="R57" s="9"/>
      <c r="S57" s="9"/>
      <c r="T57" s="9"/>
    </row>
    <row r="58" spans="18:20">
      <c r="R58" s="9"/>
      <c r="S58" s="9"/>
      <c r="T58" s="9"/>
    </row>
    <row r="59" spans="18:20">
      <c r="R59" s="9"/>
      <c r="S59" s="9"/>
      <c r="T59" s="9"/>
    </row>
    <row r="60" spans="18:20">
      <c r="R60" s="9"/>
      <c r="S60" s="9"/>
      <c r="T60" s="9"/>
    </row>
    <row r="61" spans="18:20">
      <c r="R61" s="9"/>
      <c r="S61" s="9"/>
      <c r="T61" s="9"/>
    </row>
    <row r="62" spans="18:20">
      <c r="R62" s="9"/>
      <c r="S62" s="9"/>
      <c r="T62" s="9"/>
    </row>
    <row r="63" spans="18:20">
      <c r="R63" s="9"/>
      <c r="S63" s="9"/>
      <c r="T63" s="9"/>
    </row>
    <row r="64" spans="18:20">
      <c r="R64" s="9"/>
      <c r="S64" s="9"/>
      <c r="T64" s="9"/>
    </row>
    <row r="65" spans="18:20">
      <c r="R65" s="9"/>
      <c r="S65" s="9"/>
      <c r="T65" s="9"/>
    </row>
    <row r="66" spans="18:20">
      <c r="R66" s="9"/>
      <c r="S66" s="9"/>
      <c r="T66" s="9"/>
    </row>
    <row r="67" spans="18:20">
      <c r="R67" s="9"/>
      <c r="S67" s="9"/>
      <c r="T67" s="9"/>
    </row>
    <row r="68" spans="18:20">
      <c r="R68" s="9"/>
      <c r="S68" s="9"/>
      <c r="T68" s="9"/>
    </row>
    <row r="69" spans="18:20">
      <c r="R69" s="9"/>
      <c r="S69" s="9"/>
      <c r="T69" s="9"/>
    </row>
    <row r="70" spans="18:20">
      <c r="R70" s="9"/>
      <c r="S70" s="9"/>
      <c r="T70" s="9"/>
    </row>
    <row r="71" spans="18:20">
      <c r="R71" s="9"/>
      <c r="S71" s="9"/>
      <c r="T71" s="9"/>
    </row>
    <row r="72" spans="18:20">
      <c r="R72" s="9"/>
      <c r="S72" s="9"/>
      <c r="T72" s="9"/>
    </row>
    <row r="73" spans="18:20">
      <c r="R73" s="9"/>
      <c r="S73" s="9"/>
      <c r="T73" s="9"/>
    </row>
    <row r="74" spans="18:20">
      <c r="R74" s="9"/>
      <c r="S74" s="9"/>
      <c r="T74" s="9"/>
    </row>
    <row r="75" spans="18:20">
      <c r="R75" s="9"/>
      <c r="S75" s="9"/>
      <c r="T75" s="9"/>
    </row>
    <row r="76" spans="18:20">
      <c r="R76" s="9"/>
      <c r="S76" s="9"/>
      <c r="T76" s="9"/>
    </row>
    <row r="77" spans="18:20">
      <c r="R77" s="9"/>
      <c r="S77" s="9"/>
      <c r="T77" s="9"/>
    </row>
    <row r="78" spans="18:20">
      <c r="R78" s="9"/>
      <c r="S78" s="9"/>
      <c r="T78" s="9"/>
    </row>
    <row r="79" spans="18:20">
      <c r="R79" s="9"/>
      <c r="S79" s="9"/>
      <c r="T79" s="9"/>
    </row>
    <row r="80" spans="18:20">
      <c r="R80" s="9"/>
      <c r="S80" s="9"/>
      <c r="T80" s="9"/>
    </row>
    <row r="81" spans="18:20">
      <c r="R81" s="9"/>
      <c r="S81" s="9"/>
      <c r="T81" s="9"/>
    </row>
    <row r="82" spans="18:20">
      <c r="R82" s="9"/>
      <c r="S82" s="9"/>
      <c r="T82" s="9"/>
    </row>
    <row r="83" spans="18:20">
      <c r="R83" s="9"/>
      <c r="S83" s="9"/>
      <c r="T83" s="9"/>
    </row>
    <row r="84" spans="18:20">
      <c r="R84" s="9"/>
      <c r="S84" s="9"/>
      <c r="T84" s="9"/>
    </row>
    <row r="85" spans="18:20">
      <c r="R85" s="9"/>
      <c r="S85" s="9"/>
      <c r="T85" s="9"/>
    </row>
    <row r="86" spans="18:20">
      <c r="R86" s="9"/>
      <c r="S86" s="9"/>
      <c r="T86" s="9"/>
    </row>
    <row r="87" spans="18:20">
      <c r="R87" s="9"/>
      <c r="S87" s="9"/>
      <c r="T87" s="9"/>
    </row>
    <row r="88" spans="18:20">
      <c r="R88" s="9"/>
      <c r="S88" s="9"/>
      <c r="T88" s="9"/>
    </row>
    <row r="89" spans="18:20">
      <c r="R89" s="9"/>
      <c r="S89" s="9"/>
      <c r="T89" s="9"/>
    </row>
    <row r="90" spans="18:20">
      <c r="R90" s="9"/>
      <c r="S90" s="9"/>
      <c r="T90" s="9"/>
    </row>
    <row r="91" spans="18:20">
      <c r="R91" s="9"/>
      <c r="S91" s="9"/>
      <c r="T91" s="9"/>
    </row>
    <row r="92" spans="18:20">
      <c r="R92" s="9"/>
      <c r="S92" s="9"/>
      <c r="T92" s="9"/>
    </row>
    <row r="93" spans="18:20">
      <c r="R93" s="9"/>
      <c r="S93" s="9"/>
      <c r="T93" s="9"/>
    </row>
    <row r="94" spans="18:20">
      <c r="R94" s="9"/>
      <c r="S94" s="9"/>
      <c r="T94" s="9"/>
    </row>
    <row r="95" spans="18:20">
      <c r="R95" s="9"/>
      <c r="S95" s="9"/>
      <c r="T95" s="9"/>
    </row>
    <row r="96" spans="18:20">
      <c r="R96" s="9"/>
      <c r="S96" s="9"/>
      <c r="T96" s="9"/>
    </row>
    <row r="97" spans="18:20">
      <c r="R97" s="9"/>
      <c r="S97" s="9"/>
      <c r="T97" s="9"/>
    </row>
    <row r="98" spans="18:20">
      <c r="R98" s="9"/>
      <c r="S98" s="9"/>
      <c r="T98" s="9"/>
    </row>
    <row r="99" spans="18:20">
      <c r="R99" s="9"/>
      <c r="S99" s="9"/>
      <c r="T99" s="9"/>
    </row>
    <row r="100" spans="18:20">
      <c r="R100" s="9"/>
      <c r="S100" s="9"/>
      <c r="T100" s="9"/>
    </row>
    <row r="101" spans="18:20">
      <c r="R101" s="9"/>
      <c r="S101" s="9"/>
      <c r="T101" s="9"/>
    </row>
    <row r="102" spans="18:20">
      <c r="R102" s="9"/>
      <c r="S102" s="9"/>
      <c r="T102" s="9"/>
    </row>
    <row r="103" spans="18:20">
      <c r="R103" s="9"/>
      <c r="S103" s="9"/>
      <c r="T103" s="9"/>
    </row>
    <row r="104" spans="18:20">
      <c r="R104" s="9"/>
      <c r="S104" s="9"/>
      <c r="T104" s="9"/>
    </row>
    <row r="105" spans="18:20">
      <c r="R105" s="9"/>
      <c r="S105" s="9"/>
      <c r="T105" s="9"/>
    </row>
    <row r="106" spans="18:20">
      <c r="R106" s="9"/>
      <c r="S106" s="9"/>
      <c r="T106" s="9"/>
    </row>
    <row r="107" spans="18:20">
      <c r="R107" s="9"/>
      <c r="S107" s="9"/>
      <c r="T107" s="9"/>
    </row>
    <row r="108" spans="18:20">
      <c r="R108" s="9"/>
      <c r="S108" s="9"/>
      <c r="T108" s="9"/>
    </row>
    <row r="109" spans="18:20">
      <c r="R109" s="9"/>
      <c r="S109" s="9"/>
      <c r="T109" s="9"/>
    </row>
    <row r="110" spans="18:20">
      <c r="R110" s="9"/>
      <c r="S110" s="9"/>
      <c r="T110" s="9"/>
    </row>
    <row r="111" spans="18:20">
      <c r="R111" s="9"/>
      <c r="S111" s="9"/>
      <c r="T111" s="9"/>
    </row>
    <row r="112" spans="18:20">
      <c r="R112" s="9"/>
      <c r="S112" s="9"/>
      <c r="T112" s="9"/>
    </row>
    <row r="113" spans="18:20">
      <c r="R113" s="9"/>
      <c r="S113" s="9"/>
      <c r="T113" s="9"/>
    </row>
    <row r="114" spans="18:20">
      <c r="R114" s="9"/>
      <c r="S114" s="9"/>
      <c r="T114" s="9"/>
    </row>
    <row r="115" spans="18:20">
      <c r="R115" s="9"/>
      <c r="S115" s="9"/>
      <c r="T115" s="9"/>
    </row>
    <row r="116" spans="18:20">
      <c r="R116" s="9"/>
      <c r="S116" s="9"/>
      <c r="T116" s="9"/>
    </row>
    <row r="117" spans="18:20">
      <c r="R117" s="9"/>
      <c r="S117" s="9"/>
      <c r="T117" s="9"/>
    </row>
    <row r="118" spans="18:20">
      <c r="R118" s="9"/>
      <c r="S118" s="9"/>
      <c r="T118" s="9"/>
    </row>
    <row r="119" spans="18:20">
      <c r="R119" s="9"/>
      <c r="S119" s="9"/>
      <c r="T119" s="9"/>
    </row>
    <row r="120" spans="18:20">
      <c r="R120" s="9"/>
      <c r="S120" s="9"/>
      <c r="T120" s="9"/>
    </row>
    <row r="121" spans="18:20">
      <c r="R121" s="9"/>
      <c r="S121" s="9"/>
      <c r="T121" s="9"/>
    </row>
    <row r="122" spans="18:20">
      <c r="R122" s="9"/>
      <c r="S122" s="9"/>
      <c r="T122" s="9"/>
    </row>
    <row r="123" spans="18:20">
      <c r="R123" s="9"/>
      <c r="S123" s="9"/>
      <c r="T123" s="9"/>
    </row>
    <row r="124" spans="18:20">
      <c r="R124" s="9"/>
      <c r="S124" s="9"/>
      <c r="T124" s="9"/>
    </row>
    <row r="125" spans="18:20">
      <c r="R125" s="9"/>
      <c r="S125" s="9"/>
      <c r="T125" s="9"/>
    </row>
    <row r="126" spans="18:20">
      <c r="R126" s="9"/>
      <c r="S126" s="9"/>
      <c r="T126" s="9"/>
    </row>
    <row r="127" spans="18:20">
      <c r="R127" s="9"/>
      <c r="S127" s="9"/>
      <c r="T127" s="9"/>
    </row>
    <row r="128" spans="18:20">
      <c r="R128" s="9"/>
      <c r="S128" s="9"/>
      <c r="T128" s="9"/>
    </row>
    <row r="129" spans="18:20">
      <c r="R129" s="9"/>
      <c r="S129" s="9"/>
      <c r="T129" s="9"/>
    </row>
    <row r="130" spans="18:20">
      <c r="R130" s="9"/>
      <c r="S130" s="9"/>
      <c r="T130" s="9"/>
    </row>
    <row r="131" spans="18:20">
      <c r="R131" s="9"/>
      <c r="S131" s="9"/>
      <c r="T131" s="9"/>
    </row>
    <row r="132" spans="18:20">
      <c r="R132" s="9"/>
      <c r="S132" s="9"/>
      <c r="T132" s="9"/>
    </row>
    <row r="133" spans="18:20">
      <c r="R133" s="9"/>
      <c r="S133" s="9"/>
      <c r="T133" s="9"/>
    </row>
    <row r="134" spans="18:20">
      <c r="R134" s="9"/>
      <c r="S134" s="9"/>
      <c r="T134" s="9"/>
    </row>
    <row r="135" spans="18:20">
      <c r="R135" s="9"/>
      <c r="S135" s="9"/>
      <c r="T135" s="9"/>
    </row>
    <row r="136" spans="18:20">
      <c r="R136" s="9"/>
      <c r="S136" s="9"/>
      <c r="T136" s="9"/>
    </row>
    <row r="137" spans="18:20">
      <c r="R137" s="9"/>
      <c r="S137" s="9"/>
      <c r="T137" s="9"/>
    </row>
    <row r="138" spans="18:20">
      <c r="R138" s="9"/>
      <c r="S138" s="9"/>
      <c r="T138" s="9"/>
    </row>
    <row r="139" spans="18:20">
      <c r="R139" s="9"/>
      <c r="S139" s="9"/>
      <c r="T139" s="9"/>
    </row>
    <row r="140" spans="18:20">
      <c r="R140" s="9"/>
      <c r="S140" s="9"/>
      <c r="T140" s="9"/>
    </row>
    <row r="141" spans="18:20">
      <c r="R141" s="9"/>
      <c r="S141" s="9"/>
      <c r="T141" s="9"/>
    </row>
    <row r="142" spans="18:20">
      <c r="R142" s="9"/>
      <c r="S142" s="9"/>
      <c r="T142" s="9"/>
    </row>
    <row r="143" spans="18:20">
      <c r="R143" s="9"/>
      <c r="S143" s="9"/>
      <c r="T143" s="9"/>
    </row>
    <row r="144" spans="18:20">
      <c r="R144" s="9"/>
      <c r="S144" s="9"/>
      <c r="T144" s="9"/>
    </row>
    <row r="145" spans="18:20">
      <c r="R145" s="9"/>
      <c r="S145" s="9"/>
      <c r="T145" s="9"/>
    </row>
    <row r="146" spans="18:20">
      <c r="R146" s="9"/>
      <c r="S146" s="9"/>
      <c r="T146" s="9"/>
    </row>
    <row r="147" spans="18:20">
      <c r="R147" s="9"/>
      <c r="S147" s="9"/>
      <c r="T147" s="9"/>
    </row>
    <row r="148" spans="18:20">
      <c r="R148" s="9"/>
      <c r="S148" s="9"/>
      <c r="T148" s="9"/>
    </row>
    <row r="149" spans="18:20">
      <c r="R149" s="9"/>
      <c r="S149" s="9"/>
      <c r="T149" s="9"/>
    </row>
    <row r="150" spans="18:20">
      <c r="R150" s="9"/>
      <c r="S150" s="9"/>
      <c r="T150" s="9"/>
    </row>
    <row r="151" spans="18:20">
      <c r="R151" s="9"/>
      <c r="S151" s="9"/>
      <c r="T151" s="9"/>
    </row>
    <row r="152" spans="18:20">
      <c r="R152" s="9"/>
      <c r="S152" s="9"/>
      <c r="T152" s="9"/>
    </row>
    <row r="153" spans="18:20">
      <c r="R153" s="9"/>
      <c r="S153" s="9"/>
      <c r="T153" s="9"/>
    </row>
    <row r="154" spans="18:20">
      <c r="R154" s="9"/>
      <c r="S154" s="9"/>
      <c r="T154" s="9"/>
    </row>
    <row r="155" spans="18:20">
      <c r="R155" s="9"/>
      <c r="S155" s="9"/>
      <c r="T155" s="9"/>
    </row>
    <row r="156" spans="18:20">
      <c r="R156" s="9"/>
      <c r="S156" s="9"/>
      <c r="T156" s="9"/>
    </row>
    <row r="157" spans="18:20">
      <c r="R157" s="9"/>
      <c r="S157" s="9"/>
      <c r="T157" s="9"/>
    </row>
    <row r="158" spans="18:20">
      <c r="R158" s="9"/>
      <c r="S158" s="9"/>
      <c r="T158" s="9"/>
    </row>
    <row r="159" spans="18:20">
      <c r="R159" s="9"/>
      <c r="S159" s="9"/>
      <c r="T159" s="9"/>
    </row>
    <row r="160" spans="18:20">
      <c r="R160" s="9"/>
      <c r="S160" s="9"/>
      <c r="T160" s="9"/>
    </row>
    <row r="161" spans="18:20">
      <c r="R161" s="9"/>
      <c r="S161" s="9"/>
      <c r="T161" s="9"/>
    </row>
    <row r="162" spans="18:20">
      <c r="R162" s="9"/>
      <c r="S162" s="9"/>
      <c r="T162" s="9"/>
    </row>
    <row r="163" spans="18:20">
      <c r="R163" s="9"/>
      <c r="S163" s="9"/>
      <c r="T163" s="9"/>
    </row>
    <row r="164" spans="18:20">
      <c r="R164" s="9"/>
      <c r="S164" s="9"/>
      <c r="T164" s="9"/>
    </row>
    <row r="165" spans="18:20">
      <c r="R165" s="9"/>
      <c r="S165" s="9"/>
      <c r="T165" s="9"/>
    </row>
    <row r="166" spans="18:20">
      <c r="R166" s="9"/>
      <c r="S166" s="9"/>
      <c r="T166" s="9"/>
    </row>
    <row r="167" spans="18:20">
      <c r="R167" s="9"/>
      <c r="S167" s="9"/>
      <c r="T167" s="9"/>
    </row>
    <row r="168" spans="18:20">
      <c r="R168" s="9"/>
      <c r="S168" s="9"/>
      <c r="T168" s="9"/>
    </row>
    <row r="169" spans="18:20">
      <c r="R169" s="9"/>
      <c r="S169" s="9"/>
      <c r="T169" s="9"/>
    </row>
    <row r="170" spans="18:20">
      <c r="R170" s="9"/>
      <c r="S170" s="9"/>
      <c r="T170" s="9"/>
    </row>
    <row r="171" spans="18:20">
      <c r="R171" s="9"/>
      <c r="S171" s="9"/>
      <c r="T171" s="9"/>
    </row>
    <row r="172" spans="18:20">
      <c r="R172" s="9"/>
      <c r="S172" s="9"/>
      <c r="T172" s="9"/>
    </row>
    <row r="173" spans="18:20">
      <c r="R173" s="9"/>
      <c r="S173" s="9"/>
      <c r="T173" s="9"/>
    </row>
    <row r="174" spans="18:20">
      <c r="R174" s="9"/>
      <c r="S174" s="9"/>
      <c r="T174" s="9"/>
    </row>
    <row r="175" spans="18:20">
      <c r="R175" s="9"/>
      <c r="S175" s="9"/>
      <c r="T175" s="9"/>
    </row>
    <row r="176" spans="18:20">
      <c r="R176" s="9"/>
      <c r="S176" s="9"/>
      <c r="T176" s="9"/>
    </row>
    <row r="177" spans="18:20">
      <c r="R177" s="9"/>
      <c r="S177" s="9"/>
      <c r="T177" s="9"/>
    </row>
    <row r="178" spans="18:20">
      <c r="R178" s="9"/>
      <c r="S178" s="9"/>
      <c r="T178" s="9"/>
    </row>
    <row r="179" spans="18:20">
      <c r="R179" s="9"/>
      <c r="S179" s="9"/>
      <c r="T179" s="9"/>
    </row>
    <row r="180" spans="18:20">
      <c r="R180" s="9"/>
      <c r="S180" s="9"/>
      <c r="T180" s="9"/>
    </row>
    <row r="181" spans="18:20">
      <c r="R181" s="9"/>
      <c r="S181" s="9"/>
      <c r="T181" s="9"/>
    </row>
    <row r="182" spans="18:20">
      <c r="R182" s="9"/>
      <c r="S182" s="9"/>
      <c r="T182" s="9"/>
    </row>
    <row r="183" spans="18:20">
      <c r="R183" s="9"/>
      <c r="S183" s="9"/>
      <c r="T183" s="9"/>
    </row>
    <row r="184" spans="18:20">
      <c r="R184" s="9"/>
      <c r="S184" s="9"/>
      <c r="T184" s="9"/>
    </row>
    <row r="185" spans="18:20">
      <c r="R185" s="9"/>
      <c r="S185" s="9"/>
      <c r="T185" s="9"/>
    </row>
    <row r="186" spans="18:20">
      <c r="R186" s="9"/>
      <c r="S186" s="9"/>
      <c r="T186" s="9"/>
    </row>
    <row r="187" spans="18:20">
      <c r="R187" s="9"/>
      <c r="S187" s="9"/>
      <c r="T187" s="9"/>
    </row>
    <row r="188" spans="18:20">
      <c r="R188" s="9"/>
      <c r="S188" s="9"/>
      <c r="T188" s="9"/>
    </row>
    <row r="189" spans="18:20">
      <c r="R189" s="9"/>
      <c r="S189" s="9"/>
      <c r="T189" s="9"/>
    </row>
    <row r="190" spans="18:20">
      <c r="R190" s="9"/>
      <c r="S190" s="9"/>
      <c r="T190" s="9"/>
    </row>
    <row r="191" spans="18:20">
      <c r="R191" s="9"/>
      <c r="S191" s="9"/>
      <c r="T191" s="9"/>
    </row>
    <row r="192" spans="18:20">
      <c r="R192" s="9"/>
      <c r="S192" s="9"/>
      <c r="T192" s="9"/>
    </row>
    <row r="193" spans="18:20">
      <c r="R193" s="9"/>
      <c r="S193" s="9"/>
      <c r="T193" s="9"/>
    </row>
    <row r="194" spans="18:20">
      <c r="R194" s="9"/>
      <c r="S194" s="9"/>
      <c r="T194" s="9"/>
    </row>
    <row r="195" spans="18:20">
      <c r="R195" s="9"/>
      <c r="S195" s="9"/>
      <c r="T195" s="9"/>
    </row>
    <row r="196" spans="18:20">
      <c r="R196" s="9"/>
      <c r="S196" s="9"/>
      <c r="T196" s="9"/>
    </row>
    <row r="197" spans="18:20">
      <c r="R197" s="9"/>
      <c r="S197" s="9"/>
      <c r="T197" s="9"/>
    </row>
    <row r="198" spans="18:20">
      <c r="R198" s="9"/>
      <c r="S198" s="9"/>
      <c r="T198" s="9"/>
    </row>
    <row r="199" spans="18:20">
      <c r="R199" s="9"/>
      <c r="S199" s="9"/>
      <c r="T199" s="9"/>
    </row>
    <row r="200" spans="18:20">
      <c r="R200" s="9"/>
      <c r="S200" s="9"/>
      <c r="T200" s="9"/>
    </row>
    <row r="201" spans="18:20">
      <c r="R201" s="9"/>
      <c r="S201" s="9"/>
      <c r="T201" s="9"/>
    </row>
    <row r="202" spans="18:20">
      <c r="R202" s="9"/>
      <c r="S202" s="9"/>
      <c r="T202" s="9"/>
    </row>
    <row r="203" spans="18:20">
      <c r="R203" s="9"/>
      <c r="S203" s="9"/>
      <c r="T203" s="9"/>
    </row>
    <row r="204" spans="18:20">
      <c r="R204" s="9"/>
      <c r="S204" s="9"/>
      <c r="T204" s="9"/>
    </row>
    <row r="205" spans="18:20">
      <c r="R205" s="9"/>
      <c r="S205" s="9"/>
      <c r="T205" s="9"/>
    </row>
    <row r="206" spans="18:20">
      <c r="R206" s="9"/>
      <c r="S206" s="9"/>
      <c r="T206" s="9"/>
    </row>
    <row r="207" spans="18:20">
      <c r="R207" s="9"/>
      <c r="S207" s="9"/>
      <c r="T207" s="9"/>
    </row>
    <row r="208" spans="18:20">
      <c r="R208" s="9"/>
      <c r="S208" s="9"/>
      <c r="T208" s="9"/>
    </row>
    <row r="209" spans="18:20">
      <c r="R209" s="9"/>
      <c r="S209" s="9"/>
      <c r="T209" s="9"/>
    </row>
    <row r="210" spans="18:20">
      <c r="R210" s="9"/>
      <c r="S210" s="9"/>
      <c r="T210" s="9"/>
    </row>
    <row r="211" spans="18:20">
      <c r="R211" s="9"/>
      <c r="S211" s="9"/>
      <c r="T211" s="9"/>
    </row>
    <row r="212" spans="18:20">
      <c r="R212" s="9"/>
      <c r="S212" s="9"/>
      <c r="T212" s="9"/>
    </row>
    <row r="213" spans="18:20">
      <c r="R213" s="9"/>
      <c r="S213" s="9"/>
      <c r="T213" s="9"/>
    </row>
    <row r="214" spans="18:20">
      <c r="R214" s="9"/>
      <c r="S214" s="9"/>
      <c r="T214" s="9"/>
    </row>
    <row r="215" spans="18:20">
      <c r="R215" s="9"/>
      <c r="S215" s="9"/>
      <c r="T215" s="9"/>
    </row>
    <row r="216" spans="18:20">
      <c r="R216" s="9"/>
      <c r="S216" s="9"/>
      <c r="T216" s="9"/>
    </row>
    <row r="217" spans="18:20">
      <c r="R217" s="9"/>
      <c r="S217" s="9"/>
      <c r="T217" s="9"/>
    </row>
    <row r="218" spans="18:20">
      <c r="R218" s="9"/>
      <c r="S218" s="9"/>
      <c r="T218" s="9"/>
    </row>
    <row r="219" spans="18:20">
      <c r="R219" s="9"/>
      <c r="S219" s="9"/>
      <c r="T219" s="9"/>
    </row>
    <row r="220" spans="18:20">
      <c r="R220" s="9"/>
      <c r="S220" s="9"/>
      <c r="T220" s="9"/>
    </row>
    <row r="221" spans="18:20">
      <c r="R221" s="9"/>
      <c r="S221" s="9"/>
      <c r="T221" s="9"/>
    </row>
    <row r="222" spans="18:20">
      <c r="R222" s="9"/>
      <c r="S222" s="9"/>
      <c r="T222" s="9"/>
    </row>
    <row r="223" spans="18:20">
      <c r="R223" s="9"/>
      <c r="S223" s="9"/>
      <c r="T223" s="9"/>
    </row>
    <row r="224" spans="18:20">
      <c r="R224" s="9"/>
      <c r="S224" s="9"/>
      <c r="T224" s="9"/>
    </row>
    <row r="225" spans="18:20">
      <c r="R225" s="9"/>
      <c r="S225" s="9"/>
      <c r="T225" s="9"/>
    </row>
    <row r="226" spans="18:20">
      <c r="R226" s="9"/>
      <c r="S226" s="9"/>
      <c r="T226" s="9"/>
    </row>
    <row r="227" spans="18:20">
      <c r="R227" s="9"/>
      <c r="S227" s="9"/>
      <c r="T227" s="9"/>
    </row>
    <row r="228" spans="18:20">
      <c r="R228" s="9"/>
      <c r="S228" s="9"/>
      <c r="T228" s="9"/>
    </row>
    <row r="229" spans="18:20">
      <c r="R229" s="9"/>
      <c r="S229" s="9"/>
      <c r="T229" s="9"/>
    </row>
    <row r="230" spans="18:20">
      <c r="R230" s="9"/>
      <c r="S230" s="9"/>
      <c r="T230" s="9"/>
    </row>
    <row r="231" spans="18:20">
      <c r="R231" s="9"/>
      <c r="S231" s="9"/>
      <c r="T231" s="9"/>
    </row>
    <row r="232" spans="18:20">
      <c r="R232" s="9"/>
      <c r="S232" s="9"/>
      <c r="T232" s="9"/>
    </row>
    <row r="233" spans="18:20">
      <c r="R233" s="9"/>
      <c r="S233" s="9"/>
      <c r="T233" s="9"/>
    </row>
    <row r="234" spans="18:20">
      <c r="R234" s="9"/>
      <c r="S234" s="9"/>
      <c r="T234" s="9"/>
    </row>
    <row r="235" spans="18:20">
      <c r="R235" s="9"/>
      <c r="S235" s="9"/>
      <c r="T235" s="9"/>
    </row>
    <row r="236" spans="18:20">
      <c r="R236" s="9"/>
      <c r="S236" s="9"/>
      <c r="T236" s="9"/>
    </row>
    <row r="237" spans="18:20">
      <c r="R237" s="9"/>
      <c r="S237" s="9"/>
      <c r="T237" s="9"/>
    </row>
    <row r="238" spans="18:20">
      <c r="R238" s="9"/>
      <c r="S238" s="9"/>
      <c r="T238" s="9"/>
    </row>
    <row r="239" spans="18:20">
      <c r="R239" s="9"/>
      <c r="S239" s="9"/>
      <c r="T239" s="9"/>
    </row>
    <row r="240" spans="18:20">
      <c r="R240" s="9"/>
      <c r="S240" s="9"/>
      <c r="T240" s="9"/>
    </row>
    <row r="241" spans="18:20">
      <c r="R241" s="9"/>
      <c r="S241" s="9"/>
      <c r="T241" s="9"/>
    </row>
    <row r="242" spans="18:20">
      <c r="R242" s="9"/>
      <c r="S242" s="9"/>
      <c r="T242" s="9"/>
    </row>
    <row r="243" spans="18:20">
      <c r="R243" s="9"/>
      <c r="S243" s="9"/>
      <c r="T243" s="9"/>
    </row>
    <row r="244" spans="18:20">
      <c r="R244" s="9"/>
      <c r="S244" s="9"/>
      <c r="T244" s="9"/>
    </row>
    <row r="245" spans="18:20">
      <c r="R245" s="9"/>
      <c r="S245" s="9"/>
      <c r="T245" s="9"/>
    </row>
    <row r="246" spans="18:20">
      <c r="R246" s="9"/>
      <c r="S246" s="9"/>
      <c r="T246" s="9"/>
    </row>
    <row r="247" spans="18:20">
      <c r="R247" s="9"/>
      <c r="S247" s="9"/>
      <c r="T247" s="9"/>
    </row>
    <row r="248" spans="18:20">
      <c r="R248" s="9"/>
      <c r="S248" s="9"/>
      <c r="T248" s="9"/>
    </row>
    <row r="249" spans="18:20">
      <c r="R249" s="9"/>
      <c r="S249" s="9"/>
      <c r="T249" s="9"/>
    </row>
    <row r="250" spans="18:20">
      <c r="R250" s="9"/>
      <c r="S250" s="9"/>
      <c r="T250" s="9"/>
    </row>
    <row r="251" spans="18:20">
      <c r="R251" s="9"/>
      <c r="S251" s="9"/>
      <c r="T251" s="9"/>
    </row>
    <row r="252" spans="18:20">
      <c r="R252" s="9"/>
      <c r="S252" s="9"/>
      <c r="T252" s="9"/>
    </row>
    <row r="253" spans="18:20">
      <c r="R253" s="9"/>
      <c r="S253" s="9"/>
      <c r="T253" s="9"/>
    </row>
    <row r="254" spans="18:20">
      <c r="R254" s="9"/>
      <c r="S254" s="9"/>
      <c r="T254" s="9"/>
    </row>
    <row r="255" spans="18:20">
      <c r="R255" s="9"/>
      <c r="S255" s="9"/>
      <c r="T255" s="9"/>
    </row>
    <row r="256" spans="18:20">
      <c r="R256" s="9"/>
      <c r="S256" s="9"/>
      <c r="T256" s="9"/>
    </row>
    <row r="257" spans="18:20">
      <c r="R257" s="9"/>
      <c r="S257" s="9"/>
      <c r="T257" s="9"/>
    </row>
    <row r="258" spans="18:20">
      <c r="R258" s="9"/>
      <c r="S258" s="9"/>
      <c r="T258" s="9"/>
    </row>
    <row r="259" spans="18:20">
      <c r="R259" s="9"/>
      <c r="S259" s="9"/>
      <c r="T259" s="9"/>
    </row>
    <row r="260" spans="18:20">
      <c r="R260" s="9"/>
      <c r="S260" s="9"/>
      <c r="T260" s="9"/>
    </row>
    <row r="261" spans="18:20">
      <c r="R261" s="9"/>
      <c r="S261" s="9"/>
      <c r="T261" s="9"/>
    </row>
    <row r="262" spans="18:20">
      <c r="R262" s="9"/>
      <c r="S262" s="9"/>
      <c r="T262" s="9"/>
    </row>
    <row r="263" spans="18:20">
      <c r="R263" s="9"/>
      <c r="S263" s="9"/>
      <c r="T263" s="9"/>
    </row>
    <row r="264" spans="18:20">
      <c r="R264" s="9"/>
      <c r="S264" s="9"/>
      <c r="T264" s="9"/>
    </row>
    <row r="265" spans="18:20">
      <c r="R265" s="9"/>
      <c r="S265" s="9"/>
      <c r="T265" s="9"/>
    </row>
    <row r="266" spans="18:20">
      <c r="R266" s="9"/>
      <c r="S266" s="9"/>
      <c r="T266" s="9"/>
    </row>
    <row r="267" spans="18:20">
      <c r="R267" s="9"/>
      <c r="S267" s="9"/>
      <c r="T267" s="9"/>
    </row>
    <row r="268" spans="18:20">
      <c r="R268" s="9"/>
      <c r="S268" s="9"/>
      <c r="T268" s="9"/>
    </row>
    <row r="269" spans="18:20">
      <c r="R269" s="9"/>
      <c r="S269" s="9"/>
      <c r="T269" s="9"/>
    </row>
    <row r="270" spans="18:20">
      <c r="R270" s="9"/>
      <c r="S270" s="9"/>
      <c r="T270" s="9"/>
    </row>
    <row r="271" spans="18:20">
      <c r="R271" s="9"/>
      <c r="S271" s="9"/>
      <c r="T271" s="9"/>
    </row>
    <row r="272" spans="18:20">
      <c r="R272" s="9"/>
      <c r="S272" s="9"/>
      <c r="T272" s="9"/>
    </row>
    <row r="273" spans="18:20">
      <c r="R273" s="9"/>
      <c r="S273" s="9"/>
      <c r="T273" s="9"/>
    </row>
    <row r="274" spans="18:20">
      <c r="R274" s="9"/>
      <c r="S274" s="9"/>
      <c r="T274" s="9"/>
    </row>
    <row r="275" spans="18:20">
      <c r="R275" s="9"/>
      <c r="S275" s="9"/>
      <c r="T275" s="9"/>
    </row>
    <row r="276" spans="18:20">
      <c r="R276" s="9"/>
      <c r="S276" s="9"/>
      <c r="T276" s="9"/>
    </row>
    <row r="277" spans="18:20">
      <c r="R277" s="9"/>
      <c r="S277" s="9"/>
      <c r="T277" s="9"/>
    </row>
    <row r="278" spans="18:20">
      <c r="R278" s="9"/>
      <c r="S278" s="9"/>
      <c r="T278" s="9"/>
    </row>
    <row r="279" spans="18:20">
      <c r="R279" s="9"/>
      <c r="S279" s="9"/>
      <c r="T279" s="9"/>
    </row>
    <row r="280" spans="18:20">
      <c r="R280" s="9"/>
      <c r="S280" s="9"/>
      <c r="T280" s="9"/>
    </row>
    <row r="281" spans="18:20">
      <c r="R281" s="9"/>
      <c r="S281" s="9"/>
      <c r="T281" s="9"/>
    </row>
    <row r="282" spans="18:20">
      <c r="R282" s="9"/>
      <c r="S282" s="9"/>
      <c r="T282" s="9"/>
    </row>
    <row r="283" spans="18:20">
      <c r="R283" s="9"/>
      <c r="S283" s="9"/>
      <c r="T283" s="9"/>
    </row>
    <row r="284" spans="18:20">
      <c r="R284" s="9"/>
      <c r="S284" s="9"/>
      <c r="T284" s="9"/>
    </row>
    <row r="285" spans="18:20">
      <c r="R285" s="9"/>
      <c r="S285" s="9"/>
      <c r="T285" s="9"/>
    </row>
    <row r="286" spans="18:20">
      <c r="R286" s="9"/>
      <c r="S286" s="9"/>
      <c r="T286" s="9"/>
    </row>
    <row r="287" spans="18:20">
      <c r="R287" s="9"/>
      <c r="S287" s="9"/>
      <c r="T287" s="9"/>
    </row>
    <row r="288" spans="18:20">
      <c r="R288" s="9"/>
      <c r="S288" s="9"/>
      <c r="T288" s="9"/>
    </row>
    <row r="289" spans="18:20">
      <c r="R289" s="9"/>
      <c r="S289" s="9"/>
      <c r="T289" s="9"/>
    </row>
    <row r="290" spans="18:20">
      <c r="R290" s="9"/>
      <c r="S290" s="9"/>
      <c r="T290" s="9"/>
    </row>
    <row r="291" spans="18:20">
      <c r="R291" s="9"/>
      <c r="S291" s="9"/>
      <c r="T291" s="9"/>
    </row>
    <row r="292" spans="18:20">
      <c r="R292" s="9"/>
      <c r="S292" s="9"/>
      <c r="T292" s="9"/>
    </row>
    <row r="293" spans="18:20">
      <c r="R293" s="9"/>
      <c r="S293" s="9"/>
      <c r="T293" s="9"/>
    </row>
    <row r="294" spans="18:20">
      <c r="R294" s="9"/>
      <c r="S294" s="9"/>
      <c r="T294" s="9"/>
    </row>
    <row r="295" spans="18:20">
      <c r="R295" s="9"/>
      <c r="S295" s="9"/>
      <c r="T295" s="9"/>
    </row>
    <row r="296" spans="18:20">
      <c r="R296" s="9"/>
      <c r="S296" s="9"/>
      <c r="T296" s="9"/>
    </row>
    <row r="297" spans="18:20">
      <c r="R297" s="9"/>
      <c r="S297" s="9"/>
      <c r="T297" s="9"/>
    </row>
    <row r="298" spans="18:20">
      <c r="R298" s="9"/>
      <c r="S298" s="9"/>
      <c r="T298" s="9"/>
    </row>
    <row r="299" spans="18:20">
      <c r="R299" s="9"/>
      <c r="S299" s="9"/>
      <c r="T299" s="9"/>
    </row>
    <row r="300" spans="18:20">
      <c r="R300" s="9"/>
      <c r="S300" s="9"/>
      <c r="T300" s="9"/>
    </row>
    <row r="301" spans="18:20">
      <c r="R301" s="9"/>
      <c r="S301" s="9"/>
      <c r="T301" s="9"/>
    </row>
    <row r="302" spans="18:20">
      <c r="R302" s="9"/>
      <c r="S302" s="9"/>
      <c r="T302" s="9"/>
    </row>
    <row r="303" spans="18:20">
      <c r="R303" s="9"/>
      <c r="S303" s="9"/>
      <c r="T303" s="9"/>
    </row>
    <row r="304" spans="18:20">
      <c r="R304" s="9"/>
      <c r="S304" s="9"/>
      <c r="T304" s="9"/>
    </row>
    <row r="305" spans="18:20">
      <c r="R305" s="9"/>
      <c r="S305" s="9"/>
      <c r="T305" s="9"/>
    </row>
    <row r="306" spans="18:20">
      <c r="R306" s="9"/>
      <c r="S306" s="9"/>
      <c r="T306" s="9"/>
    </row>
    <row r="307" spans="18:20">
      <c r="R307" s="9"/>
      <c r="S307" s="9"/>
      <c r="T307" s="9"/>
    </row>
    <row r="308" spans="18:20">
      <c r="R308" s="9"/>
      <c r="S308" s="9"/>
      <c r="T308" s="9"/>
    </row>
    <row r="309" spans="18:20">
      <c r="R309" s="9"/>
      <c r="S309" s="9"/>
      <c r="T309" s="9"/>
    </row>
    <row r="310" spans="18:20">
      <c r="R310" s="9"/>
      <c r="S310" s="9"/>
      <c r="T310" s="9"/>
    </row>
    <row r="311" spans="18:20">
      <c r="R311" s="9"/>
      <c r="S311" s="9"/>
      <c r="T311" s="9"/>
    </row>
    <row r="312" spans="18:20">
      <c r="R312" s="9"/>
      <c r="S312" s="9"/>
      <c r="T312" s="9"/>
    </row>
    <row r="313" spans="18:20">
      <c r="R313" s="9"/>
      <c r="S313" s="9"/>
      <c r="T313" s="9"/>
    </row>
    <row r="314" spans="18:20">
      <c r="R314" s="9"/>
      <c r="S314" s="9"/>
      <c r="T314" s="9"/>
    </row>
    <row r="315" spans="18:20">
      <c r="R315" s="9"/>
      <c r="S315" s="9"/>
      <c r="T315" s="9"/>
    </row>
    <row r="316" spans="18:20">
      <c r="R316" s="9"/>
      <c r="S316" s="9"/>
      <c r="T316" s="9"/>
    </row>
    <row r="317" spans="18:20">
      <c r="R317" s="9"/>
      <c r="S317" s="9"/>
      <c r="T317" s="9"/>
    </row>
    <row r="318" spans="18:20">
      <c r="R318" s="9"/>
      <c r="S318" s="9"/>
      <c r="T318" s="9"/>
    </row>
    <row r="319" spans="18:20">
      <c r="R319" s="9"/>
      <c r="S319" s="9"/>
      <c r="T319" s="9"/>
    </row>
    <row r="320" spans="18:20">
      <c r="R320" s="9"/>
      <c r="S320" s="9"/>
      <c r="T320" s="9"/>
    </row>
    <row r="321" spans="18:20">
      <c r="R321" s="9"/>
      <c r="S321" s="9"/>
      <c r="T321" s="9"/>
    </row>
    <row r="322" spans="18:20">
      <c r="R322" s="9"/>
      <c r="S322" s="9"/>
      <c r="T322" s="9"/>
    </row>
    <row r="323" spans="18:20">
      <c r="R323" s="9"/>
      <c r="S323" s="9"/>
      <c r="T323" s="9"/>
    </row>
    <row r="324" spans="18:20">
      <c r="R324" s="9"/>
      <c r="S324" s="9"/>
      <c r="T324" s="9"/>
    </row>
    <row r="325" spans="18:20">
      <c r="R325" s="9"/>
      <c r="S325" s="9"/>
      <c r="T325" s="9"/>
    </row>
    <row r="326" spans="18:20">
      <c r="R326" s="9"/>
      <c r="S326" s="9"/>
      <c r="T326" s="9"/>
    </row>
    <row r="327" spans="18:20">
      <c r="R327" s="9"/>
      <c r="S327" s="9"/>
      <c r="T327" s="9"/>
    </row>
    <row r="328" spans="18:20">
      <c r="R328" s="9"/>
      <c r="S328" s="9"/>
      <c r="T328" s="9"/>
    </row>
    <row r="329" spans="18:20">
      <c r="R329" s="9"/>
      <c r="S329" s="9"/>
      <c r="T329" s="9"/>
    </row>
    <row r="330" spans="18:20">
      <c r="R330" s="9"/>
      <c r="S330" s="9"/>
      <c r="T330" s="9"/>
    </row>
    <row r="331" spans="18:20">
      <c r="R331" s="9"/>
      <c r="S331" s="9"/>
      <c r="T331" s="9"/>
    </row>
    <row r="332" spans="18:20">
      <c r="R332" s="9"/>
      <c r="S332" s="9"/>
      <c r="T332" s="9"/>
    </row>
    <row r="333" spans="18:20">
      <c r="R333" s="9"/>
      <c r="S333" s="9"/>
      <c r="T333" s="9"/>
    </row>
    <row r="334" spans="18:20">
      <c r="R334" s="9"/>
      <c r="S334" s="9"/>
      <c r="T334" s="9"/>
    </row>
    <row r="335" spans="18:20">
      <c r="R335" s="9"/>
      <c r="S335" s="9"/>
      <c r="T335" s="9"/>
    </row>
    <row r="336" spans="18:20">
      <c r="R336" s="9"/>
      <c r="S336" s="9"/>
      <c r="T336" s="9"/>
    </row>
    <row r="337" spans="18:20">
      <c r="R337" s="9"/>
      <c r="S337" s="9"/>
      <c r="T337" s="9"/>
    </row>
    <row r="338" spans="18:20">
      <c r="R338" s="9"/>
      <c r="S338" s="9"/>
      <c r="T338" s="9"/>
    </row>
    <row r="339" spans="18:20">
      <c r="R339" s="9"/>
      <c r="S339" s="9"/>
      <c r="T339" s="9"/>
    </row>
    <row r="340" spans="18:20">
      <c r="R340" s="9"/>
      <c r="S340" s="9"/>
      <c r="T340" s="9"/>
    </row>
    <row r="341" spans="18:20">
      <c r="R341" s="9"/>
      <c r="S341" s="9"/>
      <c r="T341" s="9"/>
    </row>
    <row r="342" spans="18:20">
      <c r="R342" s="9"/>
      <c r="S342" s="9"/>
      <c r="T342" s="9"/>
    </row>
    <row r="343" spans="18:20">
      <c r="R343" s="9"/>
      <c r="S343" s="9"/>
      <c r="T343" s="9"/>
    </row>
    <row r="344" spans="18:20">
      <c r="R344" s="9"/>
      <c r="S344" s="9"/>
      <c r="T344" s="9"/>
    </row>
    <row r="345" spans="18:20">
      <c r="R345" s="9"/>
      <c r="S345" s="9"/>
      <c r="T345" s="9"/>
    </row>
    <row r="346" spans="18:20">
      <c r="R346" s="9"/>
      <c r="S346" s="9"/>
      <c r="T346" s="9"/>
    </row>
    <row r="347" spans="18:20">
      <c r="R347" s="9"/>
      <c r="S347" s="9"/>
      <c r="T347" s="9"/>
    </row>
    <row r="348" spans="18:20">
      <c r="R348" s="9"/>
      <c r="S348" s="9"/>
      <c r="T348" s="9"/>
    </row>
    <row r="349" spans="18:20">
      <c r="R349" s="9"/>
      <c r="S349" s="9"/>
      <c r="T349" s="9"/>
    </row>
    <row r="350" spans="18:20">
      <c r="R350" s="9"/>
      <c r="S350" s="9"/>
      <c r="T350" s="9"/>
    </row>
    <row r="351" spans="18:20">
      <c r="R351" s="9"/>
      <c r="S351" s="9"/>
      <c r="T351" s="9"/>
    </row>
    <row r="352" spans="18:20">
      <c r="R352" s="9"/>
      <c r="S352" s="9"/>
      <c r="T352" s="9"/>
    </row>
    <row r="353" spans="18:20">
      <c r="R353" s="9"/>
      <c r="S353" s="9"/>
      <c r="T353" s="9"/>
    </row>
    <row r="354" spans="18:20">
      <c r="R354" s="9"/>
      <c r="S354" s="9"/>
      <c r="T354" s="9"/>
    </row>
    <row r="355" spans="18:20">
      <c r="R355" s="9"/>
      <c r="S355" s="9"/>
      <c r="T355" s="9"/>
    </row>
    <row r="356" spans="18:20">
      <c r="R356" s="9"/>
      <c r="S356" s="9"/>
      <c r="T356" s="9"/>
    </row>
    <row r="357" spans="18:20">
      <c r="R357" s="9"/>
      <c r="S357" s="9"/>
      <c r="T357" s="9"/>
    </row>
    <row r="358" spans="18:20">
      <c r="R358" s="9"/>
      <c r="S358" s="9"/>
      <c r="T358" s="9"/>
    </row>
    <row r="359" spans="18:20">
      <c r="R359" s="9"/>
      <c r="S359" s="9"/>
      <c r="T359" s="9"/>
    </row>
    <row r="360" spans="18:20">
      <c r="R360" s="9"/>
      <c r="S360" s="9"/>
      <c r="T360" s="9"/>
    </row>
    <row r="361" spans="18:20">
      <c r="R361" s="9"/>
      <c r="S361" s="9"/>
      <c r="T361" s="9"/>
    </row>
    <row r="362" spans="18:20">
      <c r="R362" s="9"/>
      <c r="S362" s="9"/>
      <c r="T362" s="9"/>
    </row>
    <row r="363" spans="18:20">
      <c r="R363" s="9"/>
      <c r="S363" s="9"/>
      <c r="T363" s="9"/>
    </row>
    <row r="364" spans="18:20">
      <c r="R364" s="9"/>
      <c r="S364" s="9"/>
      <c r="T364" s="9"/>
    </row>
    <row r="365" spans="18:20">
      <c r="R365" s="9"/>
      <c r="S365" s="9"/>
      <c r="T365" s="9"/>
    </row>
    <row r="366" spans="18:20">
      <c r="R366" s="9"/>
      <c r="S366" s="9"/>
      <c r="T366" s="9"/>
    </row>
    <row r="367" spans="18:20">
      <c r="R367" s="9"/>
      <c r="S367" s="9"/>
      <c r="T367" s="9"/>
    </row>
    <row r="368" spans="18:20">
      <c r="R368" s="9"/>
      <c r="S368" s="9"/>
      <c r="T368" s="9"/>
    </row>
    <row r="369" spans="18:20">
      <c r="R369" s="9"/>
      <c r="S369" s="9"/>
      <c r="T369" s="9"/>
    </row>
    <row r="370" spans="18:20">
      <c r="R370" s="9"/>
      <c r="S370" s="9"/>
      <c r="T370" s="9"/>
    </row>
    <row r="371" spans="18:20">
      <c r="R371" s="9"/>
      <c r="S371" s="9"/>
      <c r="T371" s="9"/>
    </row>
    <row r="372" spans="18:20">
      <c r="R372" s="9"/>
      <c r="S372" s="9"/>
      <c r="T372" s="9"/>
    </row>
    <row r="373" spans="18:20">
      <c r="R373" s="9"/>
      <c r="S373" s="9"/>
      <c r="T373" s="9"/>
    </row>
    <row r="374" spans="18:20">
      <c r="R374" s="9"/>
      <c r="S374" s="9"/>
      <c r="T374" s="9"/>
    </row>
    <row r="375" spans="18:20">
      <c r="R375" s="9"/>
      <c r="S375" s="9"/>
      <c r="T375" s="9"/>
    </row>
    <row r="376" spans="18:20">
      <c r="R376" s="9"/>
      <c r="S376" s="9"/>
      <c r="T376" s="9"/>
    </row>
    <row r="377" spans="18:20">
      <c r="R377" s="9"/>
      <c r="S377" s="9"/>
      <c r="T377" s="9"/>
    </row>
    <row r="378" spans="18:20">
      <c r="R378" s="9"/>
      <c r="S378" s="9"/>
      <c r="T378" s="9"/>
    </row>
    <row r="379" spans="18:20">
      <c r="R379" s="9"/>
      <c r="S379" s="9"/>
      <c r="T379" s="9"/>
    </row>
    <row r="380" spans="18:20">
      <c r="R380" s="9"/>
      <c r="S380" s="9"/>
      <c r="T380" s="9"/>
    </row>
    <row r="381" spans="18:20">
      <c r="R381" s="9"/>
      <c r="S381" s="9"/>
      <c r="T381" s="9"/>
    </row>
    <row r="382" spans="18:20">
      <c r="R382" s="9"/>
      <c r="S382" s="9"/>
      <c r="T382" s="9"/>
    </row>
    <row r="383" spans="18:20">
      <c r="R383" s="9"/>
      <c r="S383" s="9"/>
      <c r="T383" s="9"/>
    </row>
    <row r="384" spans="18:20">
      <c r="R384" s="9"/>
      <c r="S384" s="9"/>
      <c r="T384" s="9"/>
    </row>
    <row r="385" spans="18:20">
      <c r="R385" s="9"/>
      <c r="S385" s="9"/>
      <c r="T385" s="9"/>
    </row>
    <row r="386" spans="18:20">
      <c r="R386" s="9"/>
      <c r="S386" s="9"/>
      <c r="T386" s="9"/>
    </row>
    <row r="387" spans="18:20">
      <c r="R387" s="9"/>
      <c r="S387" s="9"/>
      <c r="T387" s="9"/>
    </row>
    <row r="388" spans="18:20">
      <c r="R388" s="9"/>
      <c r="S388" s="9"/>
      <c r="T388" s="9"/>
    </row>
    <row r="389" spans="18:20">
      <c r="R389" s="9"/>
      <c r="S389" s="9"/>
      <c r="T389" s="9"/>
    </row>
    <row r="390" spans="18:20">
      <c r="R390" s="9"/>
      <c r="S390" s="9"/>
      <c r="T390" s="9"/>
    </row>
    <row r="391" spans="18:20">
      <c r="R391" s="9"/>
      <c r="S391" s="9"/>
      <c r="T391" s="9"/>
    </row>
    <row r="392" spans="18:20">
      <c r="R392" s="9"/>
      <c r="S392" s="9"/>
      <c r="T392" s="9"/>
    </row>
    <row r="393" spans="18:20">
      <c r="R393" s="9"/>
      <c r="S393" s="9"/>
      <c r="T393" s="9"/>
    </row>
    <row r="394" spans="18:20">
      <c r="R394" s="9"/>
      <c r="S394" s="9"/>
      <c r="T394" s="9"/>
    </row>
    <row r="395" spans="18:20">
      <c r="R395" s="9"/>
      <c r="S395" s="9"/>
      <c r="T395" s="9"/>
    </row>
    <row r="396" spans="18:20">
      <c r="R396" s="9"/>
      <c r="S396" s="9"/>
      <c r="T396" s="9"/>
    </row>
    <row r="397" spans="18:20">
      <c r="R397" s="9"/>
      <c r="S397" s="9"/>
      <c r="T397" s="9"/>
    </row>
    <row r="398" spans="18:20">
      <c r="R398" s="9"/>
      <c r="S398" s="9"/>
      <c r="T398" s="9"/>
    </row>
    <row r="399" spans="18:20">
      <c r="R399" s="9"/>
      <c r="S399" s="9"/>
      <c r="T399" s="9"/>
    </row>
    <row r="400" spans="18:20">
      <c r="R400" s="9"/>
      <c r="S400" s="9"/>
      <c r="T400" s="9"/>
    </row>
    <row r="401" spans="18:20">
      <c r="R401" s="9"/>
      <c r="S401" s="9"/>
      <c r="T401" s="9"/>
    </row>
    <row r="402" spans="18:20">
      <c r="R402" s="9"/>
      <c r="S402" s="9"/>
      <c r="T402" s="9"/>
    </row>
    <row r="403" spans="18:20">
      <c r="R403" s="9"/>
      <c r="S403" s="9"/>
      <c r="T403" s="9"/>
    </row>
    <row r="404" spans="18:20">
      <c r="R404" s="9"/>
      <c r="S404" s="9"/>
      <c r="T404" s="9"/>
    </row>
    <row r="405" spans="18:20">
      <c r="R405" s="9"/>
      <c r="S405" s="9"/>
      <c r="T405" s="9"/>
    </row>
    <row r="406" spans="18:20">
      <c r="R406" s="9"/>
      <c r="S406" s="9"/>
      <c r="T406" s="9"/>
    </row>
    <row r="407" spans="18:20">
      <c r="R407" s="9"/>
      <c r="S407" s="9"/>
      <c r="T407" s="9"/>
    </row>
    <row r="408" spans="18:20">
      <c r="R408" s="9"/>
      <c r="S408" s="9"/>
      <c r="T408" s="9"/>
    </row>
    <row r="409" spans="18:20">
      <c r="R409" s="9"/>
      <c r="S409" s="9"/>
      <c r="T409" s="9"/>
    </row>
    <row r="410" spans="18:20">
      <c r="R410" s="9"/>
      <c r="S410" s="9"/>
      <c r="T410" s="9"/>
    </row>
    <row r="411" spans="18:20">
      <c r="R411" s="9"/>
      <c r="S411" s="9"/>
      <c r="T411" s="9"/>
    </row>
    <row r="412" spans="18:20">
      <c r="R412" s="9"/>
      <c r="S412" s="9"/>
      <c r="T412" s="9"/>
    </row>
    <row r="413" spans="18:20">
      <c r="R413" s="9"/>
      <c r="S413" s="9"/>
      <c r="T413" s="9"/>
    </row>
    <row r="414" spans="18:20">
      <c r="R414" s="9"/>
      <c r="S414" s="9"/>
      <c r="T414" s="9"/>
    </row>
    <row r="415" spans="18:20">
      <c r="R415" s="9"/>
      <c r="S415" s="9"/>
      <c r="T415" s="9"/>
    </row>
    <row r="416" spans="18:20">
      <c r="R416" s="9"/>
      <c r="S416" s="9"/>
      <c r="T416" s="9"/>
    </row>
    <row r="417" spans="18:20">
      <c r="R417" s="9"/>
      <c r="S417" s="9"/>
      <c r="T417" s="9"/>
    </row>
    <row r="418" spans="18:20">
      <c r="R418" s="9"/>
      <c r="S418" s="9"/>
      <c r="T418" s="9"/>
    </row>
    <row r="419" spans="18:20">
      <c r="R419" s="9"/>
      <c r="S419" s="9"/>
      <c r="T419" s="9"/>
    </row>
    <row r="420" spans="18:20">
      <c r="R420" s="9"/>
      <c r="S420" s="9"/>
      <c r="T420" s="9"/>
    </row>
    <row r="421" spans="18:20">
      <c r="R421" s="9"/>
      <c r="S421" s="9"/>
      <c r="T421" s="9"/>
    </row>
    <row r="422" spans="18:20">
      <c r="R422" s="9"/>
      <c r="S422" s="9"/>
      <c r="T422" s="9"/>
    </row>
    <row r="423" spans="18:20">
      <c r="R423" s="9"/>
      <c r="S423" s="9"/>
      <c r="T423" s="9"/>
    </row>
    <row r="424" spans="18:20">
      <c r="R424" s="9"/>
      <c r="S424" s="9"/>
      <c r="T424" s="9"/>
    </row>
    <row r="425" spans="18:20">
      <c r="R425" s="9"/>
      <c r="S425" s="9"/>
      <c r="T425" s="9"/>
    </row>
    <row r="426" spans="18:20">
      <c r="R426" s="9"/>
      <c r="S426" s="9"/>
      <c r="T426" s="9"/>
    </row>
    <row r="427" spans="18:20">
      <c r="R427" s="9"/>
      <c r="S427" s="9"/>
      <c r="T427" s="9"/>
    </row>
    <row r="428" spans="18:20">
      <c r="R428" s="9"/>
      <c r="S428" s="9"/>
      <c r="T428" s="9"/>
    </row>
    <row r="429" spans="18:20">
      <c r="R429" s="9"/>
      <c r="S429" s="9"/>
      <c r="T429" s="9"/>
    </row>
    <row r="430" spans="18:20">
      <c r="R430" s="9"/>
      <c r="S430" s="9"/>
      <c r="T430" s="9"/>
    </row>
    <row r="431" spans="18:20">
      <c r="R431" s="9"/>
      <c r="S431" s="9"/>
      <c r="T431" s="9"/>
    </row>
    <row r="432" spans="18:20">
      <c r="R432" s="9"/>
      <c r="S432" s="9"/>
      <c r="T432" s="9"/>
    </row>
    <row r="433" spans="18:20">
      <c r="R433" s="9"/>
      <c r="S433" s="9"/>
      <c r="T433" s="9"/>
    </row>
    <row r="434" spans="18:20">
      <c r="R434" s="9"/>
      <c r="S434" s="9"/>
      <c r="T434" s="9"/>
    </row>
    <row r="435" spans="18:20">
      <c r="R435" s="9"/>
      <c r="S435" s="9"/>
      <c r="T435" s="9"/>
    </row>
    <row r="436" spans="18:20">
      <c r="R436" s="9"/>
      <c r="S436" s="9"/>
      <c r="T436" s="9"/>
    </row>
    <row r="437" spans="18:20">
      <c r="R437" s="9"/>
      <c r="S437" s="9"/>
      <c r="T437" s="9"/>
    </row>
    <row r="438" spans="18:20">
      <c r="R438" s="9"/>
      <c r="S438" s="9"/>
      <c r="T438" s="9"/>
    </row>
    <row r="439" spans="18:20">
      <c r="R439" s="9"/>
      <c r="S439" s="9"/>
      <c r="T439" s="9"/>
    </row>
    <row r="440" spans="18:20">
      <c r="R440" s="9"/>
      <c r="S440" s="9"/>
      <c r="T440" s="9"/>
    </row>
    <row r="441" spans="18:20">
      <c r="R441" s="9"/>
      <c r="S441" s="9"/>
      <c r="T441" s="9"/>
    </row>
    <row r="442" spans="18:20">
      <c r="R442" s="9"/>
      <c r="S442" s="9"/>
      <c r="T442" s="9"/>
    </row>
    <row r="443" spans="18:20">
      <c r="R443" s="9"/>
      <c r="S443" s="9"/>
      <c r="T443" s="9"/>
    </row>
    <row r="444" spans="18:20">
      <c r="R444" s="9"/>
      <c r="S444" s="9"/>
      <c r="T444" s="9"/>
    </row>
    <row r="445" spans="18:20">
      <c r="R445" s="9"/>
      <c r="S445" s="9"/>
      <c r="T445" s="9"/>
    </row>
    <row r="446" spans="18:20">
      <c r="R446" s="9"/>
      <c r="S446" s="9"/>
      <c r="T446" s="9"/>
    </row>
    <row r="447" spans="18:20">
      <c r="R447" s="9"/>
      <c r="S447" s="9"/>
      <c r="T447" s="9"/>
    </row>
    <row r="448" spans="18:20">
      <c r="R448" s="9"/>
      <c r="S448" s="9"/>
      <c r="T448" s="9"/>
    </row>
    <row r="449" spans="18:20">
      <c r="R449" s="9"/>
      <c r="S449" s="9"/>
      <c r="T449" s="9"/>
    </row>
    <row r="450" spans="18:20">
      <c r="R450" s="9"/>
      <c r="S450" s="9"/>
      <c r="T450" s="9"/>
    </row>
    <row r="451" spans="18:20">
      <c r="R451" s="9"/>
      <c r="S451" s="9"/>
      <c r="T451" s="9"/>
    </row>
    <row r="452" spans="18:20">
      <c r="R452" s="9"/>
      <c r="S452" s="9"/>
      <c r="T452" s="9"/>
    </row>
    <row r="453" spans="18:20">
      <c r="R453" s="9"/>
      <c r="S453" s="9"/>
      <c r="T453" s="9"/>
    </row>
    <row r="454" spans="18:20">
      <c r="R454" s="9"/>
      <c r="S454" s="9"/>
      <c r="T454" s="9"/>
    </row>
    <row r="455" spans="18:20">
      <c r="R455" s="9"/>
      <c r="S455" s="9"/>
      <c r="T455" s="9"/>
    </row>
    <row r="456" spans="18:20">
      <c r="R456" s="9"/>
      <c r="S456" s="9"/>
      <c r="T456" s="9"/>
    </row>
    <row r="457" spans="18:20">
      <c r="R457" s="9"/>
      <c r="S457" s="9"/>
      <c r="T457" s="9"/>
    </row>
    <row r="458" spans="18:20">
      <c r="R458" s="9"/>
      <c r="S458" s="9"/>
      <c r="T458" s="9"/>
    </row>
    <row r="459" spans="18:20">
      <c r="R459" s="9"/>
      <c r="S459" s="9"/>
      <c r="T459" s="9"/>
    </row>
    <row r="460" spans="18:20">
      <c r="R460" s="9"/>
      <c r="S460" s="9"/>
      <c r="T460" s="9"/>
    </row>
    <row r="461" spans="18:20">
      <c r="R461" s="9"/>
      <c r="S461" s="9"/>
      <c r="T461" s="9"/>
    </row>
    <row r="462" spans="18:20">
      <c r="R462" s="9"/>
      <c r="S462" s="9"/>
      <c r="T462" s="9"/>
    </row>
    <row r="463" spans="18:20">
      <c r="R463" s="9"/>
      <c r="S463" s="9"/>
      <c r="T463" s="9"/>
    </row>
    <row r="464" spans="18:20">
      <c r="R464" s="9"/>
      <c r="S464" s="9"/>
      <c r="T464" s="9"/>
    </row>
    <row r="465" spans="18:20">
      <c r="R465" s="9"/>
      <c r="S465" s="9"/>
      <c r="T465" s="9"/>
    </row>
    <row r="466" spans="18:20">
      <c r="R466" s="9"/>
      <c r="S466" s="9"/>
      <c r="T466" s="9"/>
    </row>
    <row r="467" spans="18:20">
      <c r="R467" s="9"/>
      <c r="S467" s="9"/>
      <c r="T467" s="9"/>
    </row>
    <row r="468" spans="18:20">
      <c r="R468" s="9"/>
      <c r="S468" s="9"/>
      <c r="T468" s="9"/>
    </row>
    <row r="469" spans="18:20">
      <c r="R469" s="9"/>
      <c r="S469" s="9"/>
      <c r="T469" s="9"/>
    </row>
    <row r="470" spans="18:20">
      <c r="R470" s="9"/>
      <c r="S470" s="9"/>
      <c r="T470" s="9"/>
    </row>
    <row r="471" spans="18:20">
      <c r="R471" s="9"/>
      <c r="S471" s="9"/>
      <c r="T471" s="9"/>
    </row>
    <row r="472" spans="18:20">
      <c r="R472" s="9"/>
      <c r="S472" s="9"/>
      <c r="T472" s="9"/>
    </row>
    <row r="473" spans="18:20">
      <c r="R473" s="9"/>
      <c r="S473" s="9"/>
      <c r="T473" s="9"/>
    </row>
    <row r="474" spans="18:20">
      <c r="R474" s="9"/>
      <c r="S474" s="9"/>
      <c r="T474" s="9"/>
    </row>
    <row r="475" spans="18:20">
      <c r="R475" s="9"/>
      <c r="S475" s="9"/>
      <c r="T475" s="9"/>
    </row>
    <row r="476" spans="18:20">
      <c r="R476" s="9"/>
      <c r="S476" s="9"/>
      <c r="T476" s="9"/>
    </row>
    <row r="477" spans="18:20">
      <c r="R477" s="9"/>
      <c r="S477" s="9"/>
      <c r="T477" s="9"/>
    </row>
    <row r="478" spans="18:20">
      <c r="R478" s="9"/>
      <c r="S478" s="9"/>
      <c r="T478" s="9"/>
    </row>
    <row r="479" spans="18:20">
      <c r="R479" s="9"/>
      <c r="S479" s="9"/>
      <c r="T479" s="9"/>
    </row>
    <row r="480" spans="18:20">
      <c r="R480" s="9"/>
      <c r="S480" s="9"/>
      <c r="T480" s="9"/>
    </row>
    <row r="481" spans="18:20">
      <c r="R481" s="9"/>
      <c r="S481" s="9"/>
      <c r="T481" s="9"/>
    </row>
    <row r="482" spans="18:20">
      <c r="R482" s="9"/>
      <c r="S482" s="9"/>
      <c r="T482" s="9"/>
    </row>
    <row r="483" spans="18:20">
      <c r="R483" s="9"/>
      <c r="S483" s="9"/>
      <c r="T483" s="9"/>
    </row>
    <row r="484" spans="18:20">
      <c r="R484" s="9"/>
      <c r="S484" s="9"/>
      <c r="T484" s="9"/>
    </row>
    <row r="485" spans="18:20">
      <c r="R485" s="9"/>
      <c r="S485" s="9"/>
      <c r="T485" s="9"/>
    </row>
    <row r="486" spans="18:20">
      <c r="R486" s="9"/>
      <c r="S486" s="9"/>
      <c r="T486" s="9"/>
    </row>
    <row r="487" spans="18:20">
      <c r="R487" s="9"/>
      <c r="S487" s="9"/>
      <c r="T487" s="9"/>
    </row>
    <row r="488" spans="18:20">
      <c r="R488" s="9"/>
      <c r="S488" s="9"/>
      <c r="T488" s="9"/>
    </row>
    <row r="489" spans="18:20">
      <c r="R489" s="9"/>
      <c r="S489" s="9"/>
      <c r="T489" s="9"/>
    </row>
    <row r="490" spans="18:20">
      <c r="R490" s="9"/>
      <c r="S490" s="9"/>
      <c r="T490" s="9"/>
    </row>
    <row r="491" spans="18:20">
      <c r="R491" s="9"/>
      <c r="S491" s="9"/>
      <c r="T491" s="9"/>
    </row>
    <row r="492" spans="18:20">
      <c r="R492" s="9"/>
      <c r="S492" s="9"/>
      <c r="T492" s="9"/>
    </row>
    <row r="493" spans="18:20">
      <c r="R493" s="9"/>
      <c r="S493" s="9"/>
      <c r="T493" s="9"/>
    </row>
    <row r="494" spans="18:20">
      <c r="R494" s="9"/>
      <c r="S494" s="9"/>
      <c r="T494" s="9"/>
    </row>
    <row r="495" spans="18:20">
      <c r="R495" s="9"/>
      <c r="S495" s="9"/>
      <c r="T495" s="9"/>
    </row>
    <row r="496" spans="18:20">
      <c r="R496" s="9"/>
      <c r="S496" s="9"/>
      <c r="T496" s="9"/>
    </row>
    <row r="497" spans="18:20">
      <c r="R497" s="9"/>
      <c r="S497" s="9"/>
      <c r="T497" s="9"/>
    </row>
    <row r="498" spans="18:20">
      <c r="R498" s="9"/>
      <c r="S498" s="9"/>
      <c r="T498" s="9"/>
    </row>
    <row r="499" spans="18:20">
      <c r="R499" s="9"/>
      <c r="S499" s="9"/>
      <c r="T499" s="9"/>
    </row>
    <row r="500" spans="18:20">
      <c r="R500" s="9"/>
      <c r="S500" s="9"/>
      <c r="T500" s="9"/>
    </row>
    <row r="501" spans="18:20">
      <c r="R501" s="9"/>
      <c r="S501" s="9"/>
      <c r="T501" s="9"/>
    </row>
    <row r="502" spans="18:20">
      <c r="R502" s="9"/>
      <c r="S502" s="9"/>
      <c r="T502" s="9"/>
    </row>
    <row r="503" spans="18:20">
      <c r="R503" s="9"/>
      <c r="S503" s="9"/>
      <c r="T503" s="9"/>
    </row>
    <row r="504" spans="18:20">
      <c r="R504" s="9"/>
      <c r="S504" s="9"/>
      <c r="T504" s="9"/>
    </row>
    <row r="505" spans="18:20">
      <c r="R505" s="9"/>
      <c r="S505" s="9"/>
      <c r="T505" s="9"/>
    </row>
    <row r="506" spans="18:20">
      <c r="R506" s="9"/>
      <c r="S506" s="9"/>
      <c r="T506" s="9"/>
    </row>
    <row r="507" spans="18:20">
      <c r="R507" s="9"/>
      <c r="S507" s="9"/>
      <c r="T507" s="9"/>
    </row>
    <row r="508" spans="18:20">
      <c r="R508" s="9"/>
      <c r="S508" s="9"/>
      <c r="T508" s="9"/>
    </row>
    <row r="509" spans="18:20">
      <c r="R509" s="9"/>
      <c r="S509" s="9"/>
      <c r="T509" s="9"/>
    </row>
    <row r="510" spans="18:20">
      <c r="R510" s="9"/>
      <c r="S510" s="9"/>
      <c r="T510" s="9"/>
    </row>
    <row r="511" spans="18:20">
      <c r="R511" s="9"/>
      <c r="S511" s="9"/>
      <c r="T511" s="9"/>
    </row>
    <row r="512" spans="18:20">
      <c r="R512" s="9"/>
      <c r="S512" s="9"/>
      <c r="T512" s="9"/>
    </row>
    <row r="513" spans="18:20">
      <c r="R513" s="9"/>
      <c r="S513" s="9"/>
      <c r="T513" s="9"/>
    </row>
    <row r="514" spans="18:20">
      <c r="R514" s="9"/>
      <c r="S514" s="9"/>
      <c r="T514" s="9"/>
    </row>
    <row r="515" spans="18:20">
      <c r="R515" s="9"/>
      <c r="S515" s="9"/>
      <c r="T515" s="9"/>
    </row>
    <row r="516" spans="18:20">
      <c r="R516" s="9"/>
      <c r="S516" s="9"/>
      <c r="T516" s="9"/>
    </row>
    <row r="517" spans="18:20">
      <c r="R517" s="9"/>
      <c r="S517" s="9"/>
      <c r="T517" s="9"/>
    </row>
    <row r="518" spans="18:20">
      <c r="R518" s="9"/>
      <c r="S518" s="9"/>
      <c r="T518" s="9"/>
    </row>
    <row r="519" spans="18:20">
      <c r="R519" s="9"/>
      <c r="S519" s="9"/>
      <c r="T519" s="9"/>
    </row>
    <row r="520" spans="18:20">
      <c r="R520" s="9"/>
      <c r="S520" s="9"/>
      <c r="T520" s="9"/>
    </row>
    <row r="521" spans="18:20">
      <c r="R521" s="9"/>
      <c r="S521" s="9"/>
      <c r="T521" s="9"/>
    </row>
    <row r="522" spans="18:20">
      <c r="R522" s="9"/>
      <c r="S522" s="9"/>
      <c r="T522" s="9"/>
    </row>
    <row r="523" spans="18:20">
      <c r="R523" s="9"/>
      <c r="S523" s="9"/>
      <c r="T523" s="9"/>
    </row>
    <row r="524" spans="18:20">
      <c r="R524" s="9"/>
      <c r="S524" s="9"/>
      <c r="T524" s="9"/>
    </row>
    <row r="525" spans="18:20">
      <c r="R525" s="9"/>
      <c r="S525" s="9"/>
      <c r="T525" s="9"/>
    </row>
    <row r="526" spans="18:20">
      <c r="R526" s="9"/>
      <c r="S526" s="9"/>
      <c r="T526" s="9"/>
    </row>
    <row r="527" spans="18:20">
      <c r="R527" s="9"/>
      <c r="S527" s="9"/>
      <c r="T527" s="9"/>
    </row>
    <row r="528" spans="18:20">
      <c r="R528" s="9"/>
      <c r="S528" s="9"/>
      <c r="T528" s="9"/>
    </row>
    <row r="529" spans="18:20">
      <c r="R529" s="9"/>
      <c r="S529" s="9"/>
      <c r="T529" s="9"/>
    </row>
    <row r="530" spans="18:20">
      <c r="R530" s="9"/>
      <c r="S530" s="9"/>
      <c r="T530" s="9"/>
    </row>
    <row r="531" spans="18:20">
      <c r="R531" s="9"/>
      <c r="S531" s="9"/>
      <c r="T531" s="9"/>
    </row>
    <row r="532" spans="18:20">
      <c r="R532" s="9"/>
      <c r="S532" s="9"/>
      <c r="T532" s="9"/>
    </row>
    <row r="533" spans="18:20">
      <c r="R533" s="9"/>
      <c r="S533" s="9"/>
      <c r="T533" s="9"/>
    </row>
    <row r="534" spans="18:20">
      <c r="R534" s="9"/>
      <c r="S534" s="9"/>
      <c r="T534" s="9"/>
    </row>
    <row r="535" spans="18:20">
      <c r="R535" s="9"/>
      <c r="S535" s="9"/>
      <c r="T535" s="9"/>
    </row>
    <row r="536" spans="18:20">
      <c r="R536" s="9"/>
      <c r="S536" s="9"/>
      <c r="T536" s="9"/>
    </row>
    <row r="537" spans="18:20">
      <c r="R537" s="9"/>
      <c r="S537" s="9"/>
      <c r="T537" s="9"/>
    </row>
    <row r="538" spans="18:20">
      <c r="R538" s="9"/>
      <c r="S538" s="9"/>
      <c r="T538" s="9"/>
    </row>
    <row r="539" spans="18:20">
      <c r="R539" s="9"/>
      <c r="S539" s="9"/>
      <c r="T539" s="9"/>
    </row>
    <row r="540" spans="18:20">
      <c r="R540" s="9"/>
      <c r="S540" s="9"/>
      <c r="T540" s="9"/>
    </row>
    <row r="541" spans="18:20">
      <c r="R541" s="9"/>
      <c r="S541" s="9"/>
      <c r="T541" s="9"/>
    </row>
    <row r="542" spans="18:20">
      <c r="R542" s="9"/>
      <c r="S542" s="9"/>
      <c r="T542" s="9"/>
    </row>
    <row r="543" spans="18:20">
      <c r="R543" s="9"/>
      <c r="S543" s="9"/>
      <c r="T543" s="9"/>
    </row>
    <row r="544" spans="18:20">
      <c r="R544" s="9"/>
      <c r="S544" s="9"/>
      <c r="T544" s="9"/>
    </row>
    <row r="545" spans="18:20">
      <c r="R545" s="9"/>
      <c r="S545" s="9"/>
      <c r="T545" s="9"/>
    </row>
    <row r="546" spans="18:20">
      <c r="R546" s="9"/>
      <c r="S546" s="9"/>
      <c r="T546" s="9"/>
    </row>
    <row r="547" spans="18:20">
      <c r="R547" s="9"/>
      <c r="S547" s="9"/>
      <c r="T547" s="9"/>
    </row>
    <row r="548" spans="18:20">
      <c r="R548" s="9"/>
      <c r="S548" s="9"/>
      <c r="T548" s="9"/>
    </row>
    <row r="549" spans="18:20">
      <c r="R549" s="9"/>
      <c r="S549" s="9"/>
      <c r="T549" s="9"/>
    </row>
    <row r="550" spans="18:20">
      <c r="R550" s="9"/>
      <c r="S550" s="9"/>
      <c r="T550" s="9"/>
    </row>
    <row r="551" spans="18:20">
      <c r="R551" s="9"/>
      <c r="S551" s="9"/>
      <c r="T551" s="9"/>
    </row>
    <row r="552" spans="18:20">
      <c r="R552" s="9"/>
      <c r="S552" s="9"/>
      <c r="T552" s="9"/>
    </row>
    <row r="553" spans="18:20">
      <c r="R553" s="9"/>
      <c r="S553" s="9"/>
      <c r="T553" s="9"/>
    </row>
    <row r="554" spans="18:20">
      <c r="R554" s="9"/>
      <c r="S554" s="9"/>
      <c r="T554" s="9"/>
    </row>
    <row r="555" spans="18:20">
      <c r="R555" s="9"/>
      <c r="S555" s="9"/>
      <c r="T555" s="9"/>
    </row>
    <row r="556" spans="18:20">
      <c r="R556" s="9"/>
      <c r="S556" s="9"/>
      <c r="T556" s="9"/>
    </row>
    <row r="557" spans="18:20">
      <c r="R557" s="9"/>
      <c r="S557" s="9"/>
      <c r="T557" s="9"/>
    </row>
    <row r="558" spans="18:20">
      <c r="R558" s="9"/>
      <c r="S558" s="9"/>
      <c r="T558" s="9"/>
    </row>
    <row r="559" spans="18:20">
      <c r="R559" s="9"/>
      <c r="S559" s="9"/>
      <c r="T559" s="9"/>
    </row>
    <row r="560" spans="18:20">
      <c r="R560" s="9"/>
      <c r="S560" s="9"/>
      <c r="T560" s="9"/>
    </row>
    <row r="561" spans="18:20">
      <c r="R561" s="9"/>
      <c r="S561" s="9"/>
      <c r="T561" s="9"/>
    </row>
    <row r="562" spans="18:20">
      <c r="R562" s="9"/>
      <c r="S562" s="9"/>
      <c r="T562" s="9"/>
    </row>
    <row r="563" spans="18:20">
      <c r="R563" s="9"/>
      <c r="S563" s="9"/>
      <c r="T563" s="9"/>
    </row>
    <row r="564" spans="18:20">
      <c r="R564" s="9"/>
      <c r="S564" s="9"/>
      <c r="T564" s="9"/>
    </row>
    <row r="565" spans="18:20">
      <c r="R565" s="9"/>
      <c r="S565" s="9"/>
      <c r="T565" s="9"/>
    </row>
    <row r="566" spans="18:20">
      <c r="R566" s="9"/>
      <c r="S566" s="9"/>
      <c r="T566" s="9"/>
    </row>
    <row r="567" spans="18:20">
      <c r="R567" s="9"/>
      <c r="S567" s="9"/>
      <c r="T567" s="9"/>
    </row>
    <row r="568" spans="18:20">
      <c r="R568" s="9"/>
      <c r="S568" s="9"/>
      <c r="T568" s="9"/>
    </row>
    <row r="569" spans="18:20">
      <c r="R569" s="9"/>
      <c r="S569" s="9"/>
      <c r="T569" s="9"/>
    </row>
    <row r="570" spans="18:20">
      <c r="R570" s="9"/>
      <c r="S570" s="9"/>
      <c r="T570" s="9"/>
    </row>
    <row r="571" spans="18:20">
      <c r="R571" s="9"/>
      <c r="S571" s="9"/>
      <c r="T571" s="9"/>
    </row>
    <row r="572" spans="18:20">
      <c r="R572" s="9"/>
      <c r="S572" s="9"/>
      <c r="T572" s="9"/>
    </row>
    <row r="573" spans="18:20">
      <c r="R573" s="9"/>
      <c r="S573" s="9"/>
      <c r="T573" s="9"/>
    </row>
    <row r="574" spans="18:20">
      <c r="R574" s="9"/>
      <c r="S574" s="9"/>
      <c r="T574" s="9"/>
    </row>
    <row r="575" spans="18:20">
      <c r="R575" s="9"/>
      <c r="S575" s="9"/>
      <c r="T575" s="9"/>
    </row>
    <row r="576" spans="18:20">
      <c r="R576" s="9"/>
      <c r="S576" s="9"/>
      <c r="T576" s="9"/>
    </row>
    <row r="577" spans="18:20">
      <c r="R577" s="9"/>
      <c r="S577" s="9"/>
      <c r="T577" s="9"/>
    </row>
    <row r="578" spans="18:20">
      <c r="R578" s="9"/>
      <c r="S578" s="9"/>
      <c r="T578" s="9"/>
    </row>
    <row r="579" spans="18:20">
      <c r="R579" s="9"/>
      <c r="S579" s="9"/>
      <c r="T579" s="9"/>
    </row>
    <row r="580" spans="18:20">
      <c r="R580" s="9"/>
      <c r="S580" s="9"/>
      <c r="T580" s="9"/>
    </row>
    <row r="581" spans="18:20">
      <c r="R581" s="9"/>
      <c r="S581" s="9"/>
      <c r="T581" s="9"/>
    </row>
    <row r="582" spans="18:20">
      <c r="R582" s="9"/>
      <c r="S582" s="9"/>
      <c r="T582" s="9"/>
    </row>
    <row r="583" spans="18:20">
      <c r="R583" s="9"/>
      <c r="S583" s="9"/>
      <c r="T583" s="9"/>
    </row>
    <row r="584" spans="18:20">
      <c r="R584" s="9"/>
      <c r="S584" s="9"/>
      <c r="T584" s="9"/>
    </row>
    <row r="585" spans="18:20">
      <c r="R585" s="9"/>
      <c r="S585" s="9"/>
      <c r="T585" s="9"/>
    </row>
    <row r="586" spans="18:20">
      <c r="R586" s="9"/>
      <c r="S586" s="9"/>
      <c r="T586" s="9"/>
    </row>
    <row r="587" spans="18:20">
      <c r="R587" s="9"/>
      <c r="S587" s="9"/>
      <c r="T587" s="9"/>
    </row>
    <row r="588" spans="18:20">
      <c r="R588" s="9"/>
      <c r="S588" s="9"/>
      <c r="T588" s="9"/>
    </row>
    <row r="589" spans="18:20">
      <c r="R589" s="9"/>
      <c r="S589" s="9"/>
      <c r="T589" s="9"/>
    </row>
    <row r="590" spans="18:20">
      <c r="R590" s="9"/>
      <c r="S590" s="9"/>
      <c r="T590" s="9"/>
    </row>
    <row r="591" spans="18:20">
      <c r="R591" s="9"/>
      <c r="S591" s="9"/>
      <c r="T591" s="9"/>
    </row>
    <row r="592" spans="18:20">
      <c r="R592" s="9"/>
      <c r="S592" s="9"/>
      <c r="T592" s="9"/>
    </row>
    <row r="593" spans="18:20">
      <c r="R593" s="9"/>
      <c r="S593" s="9"/>
      <c r="T593" s="9"/>
    </row>
    <row r="594" spans="18:20">
      <c r="R594" s="9"/>
      <c r="S594" s="9"/>
      <c r="T594" s="9"/>
    </row>
    <row r="595" spans="18:20">
      <c r="R595" s="9"/>
      <c r="S595" s="9"/>
      <c r="T595" s="9"/>
    </row>
    <row r="596" spans="18:20">
      <c r="R596" s="9"/>
      <c r="S596" s="9"/>
      <c r="T596" s="9"/>
    </row>
    <row r="597" spans="18:20">
      <c r="R597" s="9"/>
      <c r="S597" s="9"/>
      <c r="T597" s="9"/>
    </row>
    <row r="598" spans="18:20">
      <c r="R598" s="9"/>
      <c r="S598" s="9"/>
      <c r="T598" s="9"/>
    </row>
    <row r="599" spans="18:20">
      <c r="R599" s="9"/>
      <c r="S599" s="9"/>
      <c r="T599" s="9"/>
    </row>
    <row r="600" spans="18:20">
      <c r="R600" s="9"/>
      <c r="S600" s="9"/>
      <c r="T600" s="9"/>
    </row>
    <row r="601" spans="18:20">
      <c r="R601" s="9"/>
      <c r="S601" s="9"/>
      <c r="T601" s="9"/>
    </row>
    <row r="602" spans="18:20">
      <c r="R602" s="9"/>
      <c r="S602" s="9"/>
      <c r="T602" s="9"/>
    </row>
    <row r="603" spans="18:20">
      <c r="R603" s="9"/>
      <c r="S603" s="9"/>
      <c r="T603" s="9"/>
    </row>
    <row r="604" spans="18:20">
      <c r="R604" s="9"/>
      <c r="S604" s="9"/>
      <c r="T604" s="9"/>
    </row>
    <row r="605" spans="18:20">
      <c r="R605" s="9"/>
      <c r="S605" s="9"/>
      <c r="T605" s="9"/>
    </row>
    <row r="606" spans="18:20">
      <c r="R606" s="9"/>
      <c r="S606" s="9"/>
      <c r="T606" s="9"/>
    </row>
    <row r="607" spans="18:20">
      <c r="R607" s="9"/>
      <c r="S607" s="9"/>
      <c r="T607" s="9"/>
    </row>
    <row r="608" spans="18:20">
      <c r="R608" s="9"/>
      <c r="S608" s="9"/>
      <c r="T608" s="9"/>
    </row>
    <row r="609" spans="18:20">
      <c r="R609" s="9"/>
      <c r="S609" s="9"/>
      <c r="T609" s="9"/>
    </row>
    <row r="610" spans="18:20">
      <c r="R610" s="9"/>
      <c r="S610" s="9"/>
      <c r="T610" s="9"/>
    </row>
    <row r="611" spans="18:20">
      <c r="R611" s="9"/>
      <c r="S611" s="9"/>
      <c r="T611" s="9"/>
    </row>
    <row r="612" spans="18:20">
      <c r="R612" s="9"/>
      <c r="S612" s="9"/>
      <c r="T612" s="9"/>
    </row>
    <row r="613" spans="18:20">
      <c r="R613" s="9"/>
      <c r="S613" s="9"/>
      <c r="T613" s="9"/>
    </row>
    <row r="614" spans="18:20">
      <c r="R614" s="9"/>
      <c r="S614" s="9"/>
      <c r="T614" s="9"/>
    </row>
    <row r="615" spans="18:20">
      <c r="R615" s="9"/>
      <c r="S615" s="9"/>
      <c r="T615" s="9"/>
    </row>
    <row r="616" spans="18:20">
      <c r="R616" s="9"/>
      <c r="S616" s="9"/>
      <c r="T616" s="9"/>
    </row>
    <row r="617" spans="18:20">
      <c r="R617" s="9"/>
      <c r="S617" s="9"/>
      <c r="T617" s="9"/>
    </row>
    <row r="618" spans="18:20">
      <c r="R618" s="9"/>
      <c r="S618" s="9"/>
      <c r="T618" s="9"/>
    </row>
    <row r="619" spans="18:20">
      <c r="R619" s="9"/>
      <c r="S619" s="9"/>
      <c r="T619" s="9"/>
    </row>
    <row r="620" spans="18:20">
      <c r="R620" s="9"/>
      <c r="S620" s="9"/>
      <c r="T620" s="9"/>
    </row>
    <row r="621" spans="18:20">
      <c r="R621" s="9"/>
      <c r="S621" s="9"/>
      <c r="T621" s="9"/>
    </row>
    <row r="622" spans="18:20">
      <c r="R622" s="9"/>
      <c r="S622" s="9"/>
      <c r="T622" s="9"/>
    </row>
    <row r="623" spans="18:20">
      <c r="R623" s="9"/>
      <c r="S623" s="9"/>
      <c r="T623" s="9"/>
    </row>
    <row r="624" spans="18:20">
      <c r="R624" s="9"/>
      <c r="S624" s="9"/>
      <c r="T624" s="9"/>
    </row>
    <row r="625" spans="18:20">
      <c r="R625" s="9"/>
      <c r="S625" s="9"/>
      <c r="T625" s="9"/>
    </row>
    <row r="626" spans="18:20">
      <c r="R626" s="9"/>
      <c r="S626" s="9"/>
      <c r="T626" s="9"/>
    </row>
    <row r="627" spans="18:20">
      <c r="R627" s="9"/>
      <c r="S627" s="9"/>
      <c r="T627" s="9"/>
    </row>
    <row r="628" spans="18:20">
      <c r="R628" s="9"/>
      <c r="S628" s="9"/>
      <c r="T628" s="9"/>
    </row>
    <row r="629" spans="18:20">
      <c r="R629" s="9"/>
      <c r="S629" s="9"/>
      <c r="T629" s="9"/>
    </row>
    <row r="630" spans="18:20">
      <c r="R630" s="9"/>
      <c r="S630" s="9"/>
      <c r="T630" s="9"/>
    </row>
    <row r="631" spans="18:20">
      <c r="R631" s="9"/>
      <c r="S631" s="9"/>
      <c r="T631" s="9"/>
    </row>
    <row r="632" spans="18:20">
      <c r="R632" s="9"/>
      <c r="S632" s="9"/>
      <c r="T632" s="9"/>
    </row>
    <row r="633" spans="18:20">
      <c r="R633" s="9"/>
      <c r="S633" s="9"/>
      <c r="T633" s="9"/>
    </row>
    <row r="634" spans="18:20">
      <c r="R634" s="9"/>
      <c r="S634" s="9"/>
      <c r="T634" s="9"/>
    </row>
    <row r="635" spans="18:20">
      <c r="R635" s="9"/>
      <c r="S635" s="9"/>
      <c r="T635" s="9"/>
    </row>
    <row r="636" spans="18:20">
      <c r="R636" s="9"/>
      <c r="S636" s="9"/>
      <c r="T636" s="9"/>
    </row>
    <row r="637" spans="18:20">
      <c r="R637" s="9"/>
      <c r="S637" s="9"/>
      <c r="T637" s="9"/>
    </row>
    <row r="638" spans="18:20">
      <c r="R638" s="9"/>
      <c r="S638" s="9"/>
      <c r="T638" s="9"/>
    </row>
    <row r="639" spans="18:20">
      <c r="R639" s="9"/>
      <c r="S639" s="9"/>
      <c r="T639" s="9"/>
    </row>
    <row r="640" spans="18:20">
      <c r="R640" s="9"/>
      <c r="S640" s="9"/>
      <c r="T640" s="9"/>
    </row>
    <row r="641" spans="18:20">
      <c r="R641" s="9"/>
      <c r="S641" s="9"/>
      <c r="T641" s="9"/>
    </row>
    <row r="642" spans="18:20">
      <c r="R642" s="9"/>
      <c r="S642" s="9"/>
      <c r="T642" s="9"/>
    </row>
    <row r="643" spans="18:20">
      <c r="R643" s="9"/>
      <c r="S643" s="9"/>
      <c r="T643" s="9"/>
    </row>
    <row r="644" spans="18:20">
      <c r="R644" s="9"/>
      <c r="S644" s="9"/>
      <c r="T644" s="9"/>
    </row>
    <row r="645" spans="18:20">
      <c r="R645" s="9"/>
      <c r="S645" s="9"/>
      <c r="T645" s="9"/>
    </row>
    <row r="646" spans="18:20">
      <c r="R646" s="9"/>
      <c r="S646" s="9"/>
      <c r="T646" s="9"/>
    </row>
    <row r="647" spans="18:20">
      <c r="R647" s="9"/>
      <c r="S647" s="9"/>
      <c r="T647" s="9"/>
    </row>
    <row r="648" spans="18:20">
      <c r="R648" s="9"/>
      <c r="S648" s="9"/>
      <c r="T648" s="9"/>
    </row>
    <row r="649" spans="18:20">
      <c r="R649" s="9"/>
      <c r="S649" s="9"/>
      <c r="T649" s="9"/>
    </row>
    <row r="650" spans="18:20">
      <c r="R650" s="9"/>
      <c r="S650" s="9"/>
      <c r="T650" s="9"/>
    </row>
    <row r="651" spans="18:20">
      <c r="R651" s="9"/>
      <c r="S651" s="9"/>
      <c r="T651" s="9"/>
    </row>
    <row r="652" spans="18:20">
      <c r="R652" s="9"/>
      <c r="S652" s="9"/>
      <c r="T652" s="9"/>
    </row>
    <row r="653" spans="18:20">
      <c r="R653" s="9"/>
      <c r="S653" s="9"/>
      <c r="T653" s="9"/>
    </row>
    <row r="654" spans="18:20">
      <c r="R654" s="9"/>
      <c r="S654" s="9"/>
      <c r="T654" s="9"/>
    </row>
    <row r="655" spans="18:20">
      <c r="R655" s="9"/>
      <c r="S655" s="9"/>
      <c r="T655" s="9"/>
    </row>
    <row r="656" spans="18:20">
      <c r="R656" s="9"/>
      <c r="S656" s="9"/>
      <c r="T656" s="9"/>
    </row>
    <row r="657" spans="18:20">
      <c r="R657" s="9"/>
      <c r="S657" s="9"/>
      <c r="T657" s="9"/>
    </row>
    <row r="658" spans="18:20">
      <c r="R658" s="9"/>
      <c r="S658" s="9"/>
      <c r="T658" s="9"/>
    </row>
    <row r="659" spans="18:20">
      <c r="R659" s="9"/>
      <c r="S659" s="9"/>
      <c r="T659" s="9"/>
    </row>
    <row r="660" spans="18:20">
      <c r="R660" s="9"/>
      <c r="S660" s="9"/>
      <c r="T660" s="9"/>
    </row>
    <row r="661" spans="18:20">
      <c r="R661" s="9"/>
      <c r="S661" s="9"/>
      <c r="T661" s="9"/>
    </row>
    <row r="662" spans="18:20">
      <c r="R662" s="9"/>
      <c r="S662" s="9"/>
      <c r="T662" s="9"/>
    </row>
    <row r="663" spans="18:20">
      <c r="R663" s="9"/>
      <c r="S663" s="9"/>
      <c r="T663" s="9"/>
    </row>
    <row r="664" spans="18:20">
      <c r="R664" s="9"/>
      <c r="S664" s="9"/>
      <c r="T664" s="9"/>
    </row>
    <row r="665" spans="18:20">
      <c r="R665" s="9"/>
      <c r="S665" s="9"/>
      <c r="T665" s="9"/>
    </row>
    <row r="666" spans="18:20">
      <c r="R666" s="9"/>
      <c r="S666" s="9"/>
      <c r="T666" s="9"/>
    </row>
    <row r="667" spans="18:20">
      <c r="R667" s="9"/>
      <c r="S667" s="9"/>
      <c r="T667" s="9"/>
    </row>
    <row r="668" spans="18:20">
      <c r="R668" s="9"/>
      <c r="S668" s="9"/>
      <c r="T668" s="9"/>
    </row>
    <row r="669" spans="18:20">
      <c r="R669" s="9"/>
      <c r="S669" s="9"/>
      <c r="T669" s="9"/>
    </row>
    <row r="670" spans="18:20">
      <c r="R670" s="9"/>
      <c r="S670" s="9"/>
      <c r="T670" s="9"/>
    </row>
    <row r="671" spans="18:20">
      <c r="R671" s="9"/>
      <c r="S671" s="9"/>
      <c r="T671" s="9"/>
    </row>
    <row r="672" spans="18:20">
      <c r="R672" s="9"/>
      <c r="S672" s="9"/>
      <c r="T672" s="9"/>
    </row>
    <row r="673" spans="18:20">
      <c r="R673" s="9"/>
      <c r="S673" s="9"/>
      <c r="T673" s="9"/>
    </row>
    <row r="674" spans="18:20">
      <c r="R674" s="9"/>
      <c r="S674" s="9"/>
      <c r="T674" s="9"/>
    </row>
    <row r="675" spans="18:20">
      <c r="R675" s="9"/>
      <c r="S675" s="9"/>
      <c r="T675" s="9"/>
    </row>
    <row r="676" spans="18:20">
      <c r="R676" s="9"/>
      <c r="S676" s="9"/>
      <c r="T676" s="9"/>
    </row>
    <row r="677" spans="18:20">
      <c r="R677" s="9"/>
      <c r="S677" s="9"/>
      <c r="T677" s="9"/>
    </row>
    <row r="678" spans="18:20">
      <c r="R678" s="9"/>
      <c r="S678" s="9"/>
      <c r="T678" s="9"/>
    </row>
    <row r="679" spans="18:20">
      <c r="R679" s="9"/>
      <c r="S679" s="9"/>
      <c r="T679" s="9"/>
    </row>
    <row r="680" spans="18:20">
      <c r="R680" s="9"/>
      <c r="S680" s="9"/>
      <c r="T680" s="9"/>
    </row>
    <row r="681" spans="18:20">
      <c r="R681" s="9"/>
      <c r="S681" s="9"/>
      <c r="T681" s="9"/>
    </row>
    <row r="682" spans="18:20">
      <c r="R682" s="9"/>
      <c r="S682" s="9"/>
      <c r="T682" s="9"/>
    </row>
    <row r="683" spans="18:20">
      <c r="R683" s="9"/>
      <c r="S683" s="9"/>
      <c r="T683" s="9"/>
    </row>
    <row r="684" spans="18:20">
      <c r="R684" s="9"/>
      <c r="S684" s="9"/>
      <c r="T684" s="9"/>
    </row>
    <row r="685" spans="18:20">
      <c r="R685" s="9"/>
      <c r="S685" s="9"/>
      <c r="T685" s="9"/>
    </row>
    <row r="686" spans="18:20">
      <c r="R686" s="9"/>
      <c r="S686" s="9"/>
      <c r="T686" s="9"/>
    </row>
    <row r="687" spans="18:20">
      <c r="R687" s="9"/>
      <c r="S687" s="9"/>
      <c r="T687" s="9"/>
    </row>
    <row r="688" spans="18:20">
      <c r="R688" s="9"/>
      <c r="S688" s="9"/>
      <c r="T688" s="9"/>
    </row>
    <row r="689" spans="18:20">
      <c r="R689" s="9"/>
      <c r="S689" s="9"/>
      <c r="T689" s="9"/>
    </row>
    <row r="690" spans="18:20">
      <c r="R690" s="9"/>
      <c r="S690" s="9"/>
      <c r="T690" s="9"/>
    </row>
    <row r="691" spans="18:20">
      <c r="R691" s="9"/>
      <c r="S691" s="9"/>
      <c r="T691" s="9"/>
    </row>
    <row r="692" spans="18:20">
      <c r="R692" s="9"/>
      <c r="S692" s="9"/>
      <c r="T692" s="9"/>
    </row>
    <row r="693" spans="18:20">
      <c r="R693" s="9"/>
      <c r="S693" s="9"/>
      <c r="T693" s="9"/>
    </row>
    <row r="694" spans="18:20">
      <c r="R694" s="9"/>
      <c r="S694" s="9"/>
      <c r="T694" s="9"/>
    </row>
    <row r="695" spans="18:20">
      <c r="R695" s="9"/>
      <c r="S695" s="9"/>
      <c r="T695" s="9"/>
    </row>
    <row r="696" spans="18:20">
      <c r="R696" s="9"/>
      <c r="S696" s="9"/>
      <c r="T696" s="9"/>
    </row>
    <row r="697" spans="18:20">
      <c r="R697" s="9"/>
      <c r="S697" s="9"/>
      <c r="T697" s="9"/>
    </row>
    <row r="698" spans="18:20">
      <c r="R698" s="9"/>
      <c r="S698" s="9"/>
      <c r="T698" s="9"/>
    </row>
    <row r="699" spans="18:20">
      <c r="R699" s="9"/>
      <c r="S699" s="9"/>
      <c r="T699" s="9"/>
    </row>
    <row r="700" spans="18:20">
      <c r="R700" s="9"/>
      <c r="S700" s="9"/>
      <c r="T700" s="9"/>
    </row>
    <row r="701" spans="18:20">
      <c r="R701" s="9"/>
      <c r="S701" s="9"/>
      <c r="T701" s="9"/>
    </row>
    <row r="702" spans="18:20">
      <c r="R702" s="9"/>
      <c r="S702" s="9"/>
      <c r="T702" s="9"/>
    </row>
    <row r="703" spans="18:20">
      <c r="R703" s="9"/>
      <c r="S703" s="9"/>
      <c r="T703" s="9"/>
    </row>
    <row r="704" spans="18:20">
      <c r="R704" s="9"/>
      <c r="S704" s="9"/>
      <c r="T704" s="9"/>
    </row>
    <row r="705" spans="18:20">
      <c r="R705" s="9"/>
      <c r="S705" s="9"/>
      <c r="T705" s="9"/>
    </row>
    <row r="706" spans="18:20">
      <c r="R706" s="9"/>
      <c r="S706" s="9"/>
      <c r="T706" s="9"/>
    </row>
    <row r="707" spans="18:20">
      <c r="R707" s="9"/>
      <c r="S707" s="9"/>
      <c r="T707" s="9"/>
    </row>
    <row r="708" spans="18:20">
      <c r="R708" s="9"/>
      <c r="S708" s="9"/>
      <c r="T708" s="9"/>
    </row>
    <row r="709" spans="18:20">
      <c r="R709" s="9"/>
      <c r="S709" s="9"/>
      <c r="T709" s="9"/>
    </row>
    <row r="710" spans="18:20">
      <c r="R710" s="9"/>
      <c r="S710" s="9"/>
      <c r="T710" s="9"/>
    </row>
    <row r="711" spans="18:20">
      <c r="R711" s="9"/>
      <c r="S711" s="9"/>
      <c r="T711" s="9"/>
    </row>
    <row r="712" spans="18:20">
      <c r="R712" s="9"/>
      <c r="S712" s="9"/>
      <c r="T712" s="9"/>
    </row>
    <row r="713" spans="18:20">
      <c r="R713" s="9"/>
      <c r="S713" s="9"/>
      <c r="T713" s="9"/>
    </row>
    <row r="714" spans="18:20">
      <c r="R714" s="9"/>
      <c r="S714" s="9"/>
      <c r="T714" s="9"/>
    </row>
    <row r="715" spans="18:20">
      <c r="R715" s="9"/>
      <c r="S715" s="9"/>
      <c r="T715" s="9"/>
    </row>
    <row r="716" spans="18:20">
      <c r="R716" s="9"/>
      <c r="S716" s="9"/>
      <c r="T716" s="9"/>
    </row>
    <row r="717" spans="18:20">
      <c r="R717" s="9"/>
      <c r="S717" s="9"/>
      <c r="T717" s="9"/>
    </row>
    <row r="718" spans="18:20">
      <c r="R718" s="9"/>
      <c r="S718" s="9"/>
      <c r="T718" s="9"/>
    </row>
    <row r="719" spans="18:20">
      <c r="R719" s="9"/>
      <c r="S719" s="9"/>
      <c r="T719" s="9"/>
    </row>
    <row r="720" spans="18:20">
      <c r="R720" s="9"/>
      <c r="S720" s="9"/>
      <c r="T720" s="9"/>
    </row>
    <row r="721" spans="18:20">
      <c r="R721" s="9"/>
      <c r="S721" s="9"/>
      <c r="T721" s="9"/>
    </row>
    <row r="722" spans="18:20">
      <c r="R722" s="9"/>
      <c r="S722" s="9"/>
      <c r="T722" s="9"/>
    </row>
    <row r="723" spans="18:20">
      <c r="R723" s="9"/>
      <c r="S723" s="9"/>
      <c r="T723" s="9"/>
    </row>
    <row r="724" spans="18:20">
      <c r="R724" s="9"/>
      <c r="S724" s="9"/>
      <c r="T724" s="9"/>
    </row>
    <row r="725" spans="18:20">
      <c r="R725" s="9"/>
      <c r="S725" s="9"/>
      <c r="T725" s="9"/>
    </row>
    <row r="726" spans="18:20">
      <c r="R726" s="9"/>
      <c r="S726" s="9"/>
      <c r="T726" s="9"/>
    </row>
    <row r="727" spans="18:20">
      <c r="R727" s="9"/>
      <c r="S727" s="9"/>
      <c r="T727" s="9"/>
    </row>
    <row r="728" spans="18:20">
      <c r="R728" s="9"/>
      <c r="S728" s="9"/>
      <c r="T728" s="9"/>
    </row>
    <row r="729" spans="18:20">
      <c r="R729" s="9"/>
      <c r="S729" s="9"/>
      <c r="T729" s="9"/>
    </row>
    <row r="730" spans="18:20">
      <c r="R730" s="9"/>
      <c r="S730" s="9"/>
      <c r="T730" s="9"/>
    </row>
    <row r="731" spans="18:20">
      <c r="R731" s="9"/>
      <c r="S731" s="9"/>
      <c r="T731" s="9"/>
    </row>
    <row r="732" spans="18:20">
      <c r="R732" s="9"/>
      <c r="S732" s="9"/>
      <c r="T732" s="9"/>
    </row>
    <row r="733" spans="18:20">
      <c r="R733" s="9"/>
      <c r="S733" s="9"/>
      <c r="T733" s="9"/>
    </row>
    <row r="734" spans="18:20">
      <c r="R734" s="9"/>
      <c r="S734" s="9"/>
      <c r="T734" s="9"/>
    </row>
    <row r="735" spans="18:20">
      <c r="R735" s="9"/>
      <c r="S735" s="9"/>
      <c r="T735" s="9"/>
    </row>
    <row r="736" spans="18:20">
      <c r="R736" s="9"/>
      <c r="S736" s="9"/>
      <c r="T736" s="9"/>
    </row>
    <row r="737" spans="18:20">
      <c r="R737" s="9"/>
      <c r="S737" s="9"/>
      <c r="T737" s="9"/>
    </row>
    <row r="738" spans="18:20">
      <c r="R738" s="9"/>
      <c r="S738" s="9"/>
      <c r="T738" s="9"/>
    </row>
    <row r="739" spans="18:20">
      <c r="R739" s="9"/>
      <c r="S739" s="9"/>
      <c r="T739" s="9"/>
    </row>
    <row r="740" spans="18:20">
      <c r="R740" s="9"/>
      <c r="S740" s="9"/>
      <c r="T740" s="9"/>
    </row>
    <row r="741" spans="18:20">
      <c r="R741" s="9"/>
      <c r="S741" s="9"/>
      <c r="T741" s="9"/>
    </row>
    <row r="742" spans="18:20">
      <c r="R742" s="9"/>
      <c r="S742" s="9"/>
      <c r="T742" s="9"/>
    </row>
    <row r="743" spans="18:20">
      <c r="R743" s="9"/>
      <c r="S743" s="9"/>
      <c r="T743" s="9"/>
    </row>
    <row r="744" spans="18:20">
      <c r="R744" s="9"/>
      <c r="S744" s="9"/>
      <c r="T744" s="9"/>
    </row>
    <row r="745" spans="18:20">
      <c r="R745" s="9"/>
      <c r="S745" s="9"/>
      <c r="T745" s="9"/>
    </row>
    <row r="746" spans="18:20">
      <c r="R746" s="9"/>
      <c r="S746" s="9"/>
      <c r="T746" s="9"/>
    </row>
    <row r="747" spans="18:20">
      <c r="R747" s="9"/>
      <c r="S747" s="9"/>
      <c r="T747" s="9"/>
    </row>
    <row r="748" spans="18:20">
      <c r="R748" s="9"/>
      <c r="S748" s="9"/>
      <c r="T748" s="9"/>
    </row>
    <row r="749" spans="18:20">
      <c r="R749" s="9"/>
      <c r="S749" s="9"/>
      <c r="T749" s="9"/>
    </row>
    <row r="750" spans="18:20">
      <c r="R750" s="9"/>
      <c r="S750" s="9"/>
      <c r="T750" s="9"/>
    </row>
    <row r="751" spans="18:20">
      <c r="R751" s="9"/>
      <c r="S751" s="9"/>
      <c r="T751" s="9"/>
    </row>
    <row r="752" spans="18:20">
      <c r="R752" s="9"/>
      <c r="S752" s="9"/>
      <c r="T752" s="9"/>
    </row>
    <row r="753" spans="18:20">
      <c r="R753" s="9"/>
      <c r="S753" s="9"/>
      <c r="T753" s="9"/>
    </row>
    <row r="754" spans="18:20">
      <c r="R754" s="9"/>
      <c r="S754" s="9"/>
      <c r="T754" s="9"/>
    </row>
    <row r="755" spans="18:20">
      <c r="R755" s="9"/>
      <c r="S755" s="9"/>
      <c r="T755" s="9"/>
    </row>
    <row r="756" spans="18:20">
      <c r="R756" s="9"/>
      <c r="S756" s="9"/>
      <c r="T756" s="9"/>
    </row>
    <row r="757" spans="18:20">
      <c r="R757" s="9"/>
      <c r="S757" s="9"/>
      <c r="T757" s="9"/>
    </row>
    <row r="758" spans="18:20">
      <c r="R758" s="9"/>
      <c r="S758" s="9"/>
      <c r="T758" s="9"/>
    </row>
    <row r="759" spans="18:20">
      <c r="R759" s="9"/>
      <c r="S759" s="9"/>
      <c r="T759" s="9"/>
    </row>
    <row r="760" spans="18:20">
      <c r="R760" s="9"/>
      <c r="S760" s="9"/>
      <c r="T760" s="9"/>
    </row>
    <row r="761" spans="18:20">
      <c r="R761" s="9"/>
      <c r="S761" s="9"/>
      <c r="T761" s="9"/>
    </row>
    <row r="762" spans="18:20">
      <c r="R762" s="9"/>
      <c r="S762" s="9"/>
      <c r="T762" s="9"/>
    </row>
    <row r="763" spans="18:20">
      <c r="R763" s="9"/>
      <c r="S763" s="9"/>
      <c r="T763" s="9"/>
    </row>
    <row r="764" spans="18:20">
      <c r="R764" s="9"/>
      <c r="S764" s="9"/>
      <c r="T764" s="9"/>
    </row>
    <row r="765" spans="18:20">
      <c r="R765" s="9"/>
      <c r="S765" s="9"/>
      <c r="T765" s="9"/>
    </row>
    <row r="766" spans="18:20">
      <c r="R766" s="9"/>
      <c r="S766" s="9"/>
      <c r="T766" s="9"/>
    </row>
    <row r="767" spans="18:20">
      <c r="R767" s="9"/>
      <c r="S767" s="9"/>
      <c r="T767" s="9"/>
    </row>
    <row r="768" spans="18:20">
      <c r="R768" s="9"/>
      <c r="S768" s="9"/>
      <c r="T768" s="9"/>
    </row>
    <row r="769" spans="18:20">
      <c r="R769" s="9"/>
      <c r="S769" s="9"/>
      <c r="T769" s="9"/>
    </row>
    <row r="770" spans="18:20">
      <c r="R770" s="9"/>
      <c r="S770" s="9"/>
      <c r="T770" s="9"/>
    </row>
    <row r="771" spans="18:20">
      <c r="R771" s="9"/>
      <c r="S771" s="9"/>
      <c r="T771" s="9"/>
    </row>
    <row r="772" spans="18:20">
      <c r="R772" s="9"/>
      <c r="S772" s="9"/>
      <c r="T772" s="9"/>
    </row>
    <row r="773" spans="18:20">
      <c r="R773" s="9"/>
      <c r="S773" s="9"/>
      <c r="T773" s="9"/>
    </row>
    <row r="774" spans="18:20">
      <c r="R774" s="9"/>
      <c r="S774" s="9"/>
      <c r="T774" s="9"/>
    </row>
    <row r="775" spans="18:20">
      <c r="R775" s="9"/>
      <c r="S775" s="9"/>
      <c r="T775" s="9"/>
    </row>
    <row r="776" spans="18:20">
      <c r="R776" s="9"/>
      <c r="S776" s="9"/>
      <c r="T776" s="9"/>
    </row>
    <row r="777" spans="18:20">
      <c r="R777" s="9"/>
      <c r="S777" s="9"/>
      <c r="T777" s="9"/>
    </row>
    <row r="778" spans="18:20">
      <c r="R778" s="9"/>
      <c r="S778" s="9"/>
      <c r="T778" s="9"/>
    </row>
    <row r="779" spans="18:20">
      <c r="R779" s="9"/>
      <c r="S779" s="9"/>
      <c r="T779" s="9"/>
    </row>
    <row r="780" spans="18:20">
      <c r="R780" s="9"/>
      <c r="S780" s="9"/>
      <c r="T780" s="9"/>
    </row>
    <row r="781" spans="18:20">
      <c r="R781" s="9"/>
      <c r="S781" s="9"/>
      <c r="T781" s="9"/>
    </row>
    <row r="782" spans="18:20">
      <c r="R782" s="9"/>
      <c r="S782" s="9"/>
      <c r="T782" s="9"/>
    </row>
    <row r="783" spans="18:20">
      <c r="R783" s="9"/>
      <c r="S783" s="9"/>
      <c r="T783" s="9"/>
    </row>
    <row r="784" spans="18:20">
      <c r="R784" s="9"/>
      <c r="S784" s="9"/>
      <c r="T784" s="9"/>
    </row>
    <row r="785" spans="18:20">
      <c r="R785" s="9"/>
      <c r="S785" s="9"/>
      <c r="T785" s="9"/>
    </row>
    <row r="786" spans="18:20">
      <c r="R786" s="9"/>
      <c r="S786" s="9"/>
      <c r="T786" s="9"/>
    </row>
    <row r="787" spans="18:20">
      <c r="R787" s="9"/>
      <c r="S787" s="9"/>
      <c r="T787" s="9"/>
    </row>
    <row r="788" spans="18:20">
      <c r="R788" s="9"/>
      <c r="S788" s="9"/>
      <c r="T788" s="9"/>
    </row>
    <row r="789" spans="18:20">
      <c r="R789" s="9"/>
      <c r="S789" s="9"/>
      <c r="T789" s="9"/>
    </row>
    <row r="790" spans="18:20">
      <c r="R790" s="9"/>
      <c r="S790" s="9"/>
      <c r="T790" s="9"/>
    </row>
    <row r="791" spans="18:20">
      <c r="R791" s="9"/>
      <c r="S791" s="9"/>
      <c r="T791" s="9"/>
    </row>
    <row r="792" spans="18:20">
      <c r="R792" s="9"/>
      <c r="S792" s="9"/>
      <c r="T792" s="9"/>
    </row>
    <row r="793" spans="18:20">
      <c r="R793" s="9"/>
      <c r="S793" s="9"/>
      <c r="T793" s="9"/>
    </row>
    <row r="794" spans="18:20">
      <c r="R794" s="9"/>
      <c r="S794" s="9"/>
      <c r="T794" s="9"/>
    </row>
    <row r="795" spans="18:20">
      <c r="R795" s="9"/>
      <c r="S795" s="9"/>
      <c r="T795" s="9"/>
    </row>
    <row r="796" spans="18:20">
      <c r="R796" s="9"/>
      <c r="S796" s="9"/>
      <c r="T796" s="9"/>
    </row>
    <row r="797" spans="18:20">
      <c r="R797" s="9"/>
      <c r="S797" s="9"/>
      <c r="T797" s="9"/>
    </row>
    <row r="798" spans="18:20">
      <c r="R798" s="9"/>
      <c r="S798" s="9"/>
      <c r="T798" s="9"/>
    </row>
    <row r="799" spans="18:20">
      <c r="R799" s="9"/>
      <c r="S799" s="9"/>
      <c r="T799" s="9"/>
    </row>
    <row r="800" spans="18:20">
      <c r="R800" s="9"/>
      <c r="S800" s="9"/>
      <c r="T800" s="9"/>
    </row>
    <row r="801" spans="18:20">
      <c r="R801" s="9"/>
      <c r="S801" s="9"/>
      <c r="T801" s="9"/>
    </row>
    <row r="802" spans="18:20">
      <c r="R802" s="9"/>
      <c r="S802" s="9"/>
      <c r="T802" s="9"/>
    </row>
    <row r="803" spans="18:20">
      <c r="R803" s="9"/>
      <c r="S803" s="9"/>
      <c r="T803" s="9"/>
    </row>
    <row r="804" spans="18:20">
      <c r="R804" s="9"/>
      <c r="S804" s="9"/>
      <c r="T804" s="9"/>
    </row>
    <row r="805" spans="18:20">
      <c r="R805" s="9"/>
      <c r="S805" s="9"/>
      <c r="T805" s="9"/>
    </row>
    <row r="806" spans="18:20">
      <c r="R806" s="9"/>
      <c r="S806" s="9"/>
      <c r="T806" s="9"/>
    </row>
    <row r="807" spans="18:20">
      <c r="R807" s="9"/>
      <c r="S807" s="9"/>
      <c r="T807" s="9"/>
    </row>
    <row r="808" spans="18:20">
      <c r="R808" s="9"/>
      <c r="S808" s="9"/>
      <c r="T808" s="9"/>
    </row>
    <row r="809" spans="18:20">
      <c r="R809" s="9"/>
      <c r="S809" s="9"/>
      <c r="T809" s="9"/>
    </row>
    <row r="810" spans="18:20">
      <c r="R810" s="9"/>
      <c r="S810" s="9"/>
      <c r="T810" s="9"/>
    </row>
    <row r="811" spans="18:20">
      <c r="R811" s="9"/>
      <c r="S811" s="9"/>
      <c r="T811" s="9"/>
    </row>
    <row r="812" spans="18:20">
      <c r="R812" s="9"/>
      <c r="S812" s="9"/>
      <c r="T812" s="9"/>
    </row>
    <row r="813" spans="18:20">
      <c r="R813" s="9"/>
      <c r="S813" s="9"/>
      <c r="T813" s="9"/>
    </row>
    <row r="814" spans="18:20">
      <c r="R814" s="9"/>
      <c r="S814" s="9"/>
      <c r="T814" s="9"/>
    </row>
    <row r="815" spans="18:20">
      <c r="R815" s="9"/>
      <c r="S815" s="9"/>
      <c r="T815" s="9"/>
    </row>
    <row r="816" spans="18:20">
      <c r="R816" s="9"/>
      <c r="S816" s="9"/>
      <c r="T816" s="9"/>
    </row>
    <row r="817" spans="18:20">
      <c r="R817" s="9"/>
      <c r="S817" s="9"/>
      <c r="T817" s="9"/>
    </row>
    <row r="818" spans="18:20">
      <c r="R818" s="9"/>
      <c r="S818" s="9"/>
      <c r="T818" s="9"/>
    </row>
    <row r="819" spans="18:20">
      <c r="R819" s="9"/>
      <c r="S819" s="9"/>
      <c r="T819" s="9"/>
    </row>
    <row r="820" spans="18:20">
      <c r="R820" s="9"/>
      <c r="S820" s="9"/>
      <c r="T820" s="9"/>
    </row>
    <row r="821" spans="18:20">
      <c r="R821" s="9"/>
      <c r="S821" s="9"/>
      <c r="T821" s="9"/>
    </row>
    <row r="822" spans="18:20">
      <c r="R822" s="9"/>
      <c r="S822" s="9"/>
      <c r="T822" s="9"/>
    </row>
    <row r="823" spans="18:20">
      <c r="R823" s="9"/>
      <c r="S823" s="9"/>
      <c r="T823" s="9"/>
    </row>
    <row r="824" spans="18:20">
      <c r="R824" s="9"/>
      <c r="S824" s="9"/>
      <c r="T824" s="9"/>
    </row>
    <row r="825" spans="18:20">
      <c r="R825" s="9"/>
      <c r="S825" s="9"/>
      <c r="T825" s="9"/>
    </row>
    <row r="826" spans="18:20">
      <c r="R826" s="9"/>
      <c r="S826" s="9"/>
      <c r="T826" s="9"/>
    </row>
    <row r="827" spans="18:20">
      <c r="R827" s="9"/>
      <c r="S827" s="9"/>
      <c r="T827" s="9"/>
    </row>
    <row r="828" spans="18:20">
      <c r="R828" s="9"/>
      <c r="S828" s="9"/>
      <c r="T828" s="9"/>
    </row>
    <row r="829" spans="18:20">
      <c r="R829" s="9"/>
      <c r="S829" s="9"/>
      <c r="T829" s="9"/>
    </row>
    <row r="830" spans="18:20">
      <c r="R830" s="9"/>
      <c r="S830" s="9"/>
      <c r="T830" s="9"/>
    </row>
    <row r="831" spans="18:20">
      <c r="R831" s="9"/>
      <c r="S831" s="9"/>
      <c r="T831" s="9"/>
    </row>
    <row r="832" spans="18:20">
      <c r="R832" s="9"/>
      <c r="S832" s="9"/>
      <c r="T832" s="9"/>
    </row>
    <row r="833" spans="18:20">
      <c r="R833" s="9"/>
      <c r="S833" s="9"/>
      <c r="T833" s="9"/>
    </row>
    <row r="834" spans="18:20">
      <c r="R834" s="9"/>
      <c r="S834" s="9"/>
      <c r="T834" s="9"/>
    </row>
    <row r="835" spans="18:20">
      <c r="R835" s="9"/>
      <c r="S835" s="9"/>
      <c r="T835" s="9"/>
    </row>
    <row r="836" spans="18:20">
      <c r="R836" s="9"/>
      <c r="S836" s="9"/>
      <c r="T836" s="9"/>
    </row>
    <row r="837" spans="18:20">
      <c r="R837" s="9"/>
      <c r="S837" s="9"/>
      <c r="T837" s="9"/>
    </row>
    <row r="838" spans="18:20">
      <c r="R838" s="9"/>
      <c r="S838" s="9"/>
      <c r="T838" s="9"/>
    </row>
    <row r="839" spans="18:20">
      <c r="R839" s="9"/>
      <c r="S839" s="9"/>
      <c r="T839" s="9"/>
    </row>
    <row r="840" spans="18:20">
      <c r="R840" s="9"/>
      <c r="S840" s="9"/>
      <c r="T840" s="9"/>
    </row>
    <row r="841" spans="18:20">
      <c r="R841" s="9"/>
      <c r="S841" s="9"/>
      <c r="T841" s="9"/>
    </row>
    <row r="842" spans="18:20">
      <c r="R842" s="9"/>
      <c r="S842" s="9"/>
      <c r="T842" s="9"/>
    </row>
    <row r="843" spans="18:20">
      <c r="R843" s="9"/>
      <c r="S843" s="9"/>
      <c r="T843" s="9"/>
    </row>
    <row r="844" spans="18:20">
      <c r="R844" s="9"/>
      <c r="S844" s="9"/>
      <c r="T844" s="9"/>
    </row>
    <row r="845" spans="18:20">
      <c r="R845" s="9"/>
      <c r="S845" s="9"/>
      <c r="T845" s="9"/>
    </row>
    <row r="846" spans="18:20">
      <c r="R846" s="9"/>
      <c r="S846" s="9"/>
      <c r="T846" s="9"/>
    </row>
    <row r="847" spans="18:20">
      <c r="R847" s="9"/>
      <c r="S847" s="9"/>
      <c r="T847" s="9"/>
    </row>
    <row r="848" spans="18:20">
      <c r="R848" s="9"/>
      <c r="S848" s="9"/>
      <c r="T848" s="9"/>
    </row>
    <row r="849" spans="18:20">
      <c r="R849" s="9"/>
      <c r="S849" s="9"/>
      <c r="T849" s="9"/>
    </row>
    <row r="850" spans="18:20">
      <c r="R850" s="9"/>
      <c r="S850" s="9"/>
      <c r="T850" s="9"/>
    </row>
    <row r="851" spans="18:20">
      <c r="R851" s="9"/>
      <c r="S851" s="9"/>
      <c r="T851" s="9"/>
    </row>
    <row r="852" spans="18:20">
      <c r="R852" s="9"/>
      <c r="S852" s="9"/>
      <c r="T852" s="9"/>
    </row>
    <row r="853" spans="18:20">
      <c r="R853" s="9"/>
      <c r="S853" s="9"/>
      <c r="T853" s="9"/>
    </row>
    <row r="854" spans="18:20">
      <c r="R854" s="9"/>
      <c r="S854" s="9"/>
      <c r="T854" s="9"/>
    </row>
    <row r="855" spans="18:20">
      <c r="R855" s="9"/>
      <c r="S855" s="9"/>
      <c r="T855" s="9"/>
    </row>
    <row r="856" spans="18:20">
      <c r="R856" s="9"/>
      <c r="S856" s="9"/>
      <c r="T856" s="9"/>
    </row>
    <row r="857" spans="18:20">
      <c r="R857" s="9"/>
      <c r="S857" s="9"/>
      <c r="T857" s="9"/>
    </row>
    <row r="858" spans="18:20">
      <c r="R858" s="9"/>
      <c r="S858" s="9"/>
      <c r="T858" s="9"/>
    </row>
    <row r="859" spans="18:20">
      <c r="R859" s="9"/>
      <c r="S859" s="9"/>
      <c r="T859" s="9"/>
    </row>
    <row r="860" spans="18:20">
      <c r="R860" s="9"/>
      <c r="S860" s="9"/>
      <c r="T860" s="9"/>
    </row>
    <row r="861" spans="18:20">
      <c r="R861" s="9"/>
      <c r="S861" s="9"/>
      <c r="T861" s="9"/>
    </row>
    <row r="862" spans="18:20">
      <c r="R862" s="9"/>
      <c r="S862" s="9"/>
      <c r="T862" s="9"/>
    </row>
    <row r="863" spans="18:20">
      <c r="R863" s="9"/>
      <c r="S863" s="9"/>
      <c r="T863" s="9"/>
    </row>
    <row r="864" spans="18:20">
      <c r="R864" s="9"/>
      <c r="S864" s="9"/>
      <c r="T864" s="9"/>
    </row>
    <row r="865" spans="18:20">
      <c r="R865" s="9"/>
      <c r="S865" s="9"/>
      <c r="T865" s="9"/>
    </row>
    <row r="866" spans="18:20">
      <c r="R866" s="9"/>
      <c r="S866" s="9"/>
      <c r="T866" s="9"/>
    </row>
    <row r="867" spans="18:20">
      <c r="R867" s="9"/>
      <c r="S867" s="9"/>
      <c r="T867" s="9"/>
    </row>
    <row r="868" spans="18:20">
      <c r="R868" s="9"/>
      <c r="S868" s="9"/>
      <c r="T868" s="9"/>
    </row>
    <row r="869" spans="18:20">
      <c r="R869" s="9"/>
      <c r="S869" s="9"/>
      <c r="T869" s="9"/>
    </row>
    <row r="870" spans="18:20">
      <c r="R870" s="9"/>
      <c r="S870" s="9"/>
      <c r="T870" s="9"/>
    </row>
    <row r="871" spans="18:20">
      <c r="R871" s="9"/>
      <c r="S871" s="9"/>
      <c r="T871" s="9"/>
    </row>
    <row r="872" spans="18:20">
      <c r="R872" s="9"/>
      <c r="S872" s="9"/>
      <c r="T872" s="9"/>
    </row>
    <row r="873" spans="18:20">
      <c r="R873" s="9"/>
      <c r="S873" s="9"/>
      <c r="T873" s="9"/>
    </row>
    <row r="874" spans="18:20">
      <c r="R874" s="9"/>
      <c r="S874" s="9"/>
      <c r="T874" s="9"/>
    </row>
    <row r="875" spans="18:20">
      <c r="R875" s="9"/>
      <c r="S875" s="9"/>
      <c r="T875" s="9"/>
    </row>
    <row r="876" spans="18:20">
      <c r="R876" s="9"/>
      <c r="S876" s="9"/>
      <c r="T876" s="9"/>
    </row>
    <row r="877" spans="18:20">
      <c r="R877" s="9"/>
      <c r="S877" s="9"/>
      <c r="T877" s="9"/>
    </row>
    <row r="878" spans="18:20">
      <c r="R878" s="9"/>
      <c r="S878" s="9"/>
      <c r="T878" s="9"/>
    </row>
    <row r="879" spans="18:20">
      <c r="R879" s="9"/>
      <c r="S879" s="9"/>
      <c r="T879" s="9"/>
    </row>
    <row r="880" spans="18:20">
      <c r="R880" s="9"/>
      <c r="S880" s="9"/>
      <c r="T880" s="9"/>
    </row>
    <row r="881" spans="18:20">
      <c r="R881" s="9"/>
      <c r="S881" s="9"/>
      <c r="T881" s="9"/>
    </row>
    <row r="882" spans="18:20">
      <c r="R882" s="9"/>
      <c r="S882" s="9"/>
      <c r="T882" s="9"/>
    </row>
    <row r="883" spans="18:20">
      <c r="R883" s="9"/>
      <c r="S883" s="9"/>
      <c r="T883" s="9"/>
    </row>
    <row r="884" spans="18:20">
      <c r="R884" s="9"/>
      <c r="S884" s="9"/>
      <c r="T884" s="9"/>
    </row>
    <row r="885" spans="18:20">
      <c r="R885" s="9"/>
      <c r="S885" s="9"/>
      <c r="T885" s="9"/>
    </row>
    <row r="886" spans="18:20">
      <c r="R886" s="9"/>
      <c r="S886" s="9"/>
      <c r="T886" s="9"/>
    </row>
    <row r="887" spans="18:20">
      <c r="R887" s="9"/>
      <c r="S887" s="9"/>
      <c r="T887" s="9"/>
    </row>
    <row r="888" spans="18:20">
      <c r="R888" s="9"/>
      <c r="S888" s="9"/>
      <c r="T888" s="9"/>
    </row>
    <row r="889" spans="18:20">
      <c r="R889" s="9"/>
      <c r="S889" s="9"/>
      <c r="T889" s="9"/>
    </row>
    <row r="890" spans="18:20">
      <c r="R890" s="9"/>
      <c r="S890" s="9"/>
      <c r="T890" s="9"/>
    </row>
    <row r="891" spans="18:20">
      <c r="R891" s="9"/>
      <c r="S891" s="9"/>
      <c r="T891" s="9"/>
    </row>
    <row r="892" spans="18:20">
      <c r="R892" s="9"/>
      <c r="S892" s="9"/>
      <c r="T892" s="9"/>
    </row>
    <row r="893" spans="18:20">
      <c r="R893" s="9"/>
      <c r="S893" s="9"/>
      <c r="T893" s="9"/>
    </row>
    <row r="894" spans="18:20">
      <c r="R894" s="9"/>
      <c r="S894" s="9"/>
      <c r="T894" s="9"/>
    </row>
    <row r="895" spans="18:20">
      <c r="R895" s="9"/>
      <c r="S895" s="9"/>
      <c r="T895" s="9"/>
    </row>
    <row r="896" spans="18:20">
      <c r="R896" s="9"/>
      <c r="S896" s="9"/>
      <c r="T896" s="9"/>
    </row>
    <row r="897" spans="18:20">
      <c r="R897" s="9"/>
      <c r="S897" s="9"/>
      <c r="T897" s="9"/>
    </row>
    <row r="898" spans="18:20">
      <c r="R898" s="9"/>
      <c r="S898" s="9"/>
      <c r="T898" s="9"/>
    </row>
    <row r="899" spans="18:20">
      <c r="R899" s="9"/>
      <c r="S899" s="9"/>
      <c r="T899" s="9"/>
    </row>
    <row r="900" spans="18:20">
      <c r="R900" s="9"/>
      <c r="S900" s="9"/>
      <c r="T900" s="9"/>
    </row>
    <row r="901" spans="18:20">
      <c r="R901" s="9"/>
      <c r="S901" s="9"/>
      <c r="T901" s="9"/>
    </row>
    <row r="902" spans="18:20">
      <c r="R902" s="9"/>
      <c r="S902" s="9"/>
      <c r="T902" s="9"/>
    </row>
    <row r="903" spans="18:20">
      <c r="R903" s="9"/>
      <c r="S903" s="9"/>
      <c r="T903" s="9"/>
    </row>
    <row r="904" spans="18:20">
      <c r="R904" s="9"/>
      <c r="S904" s="9"/>
      <c r="T904" s="9"/>
    </row>
    <row r="905" spans="18:20">
      <c r="R905" s="9"/>
      <c r="S905" s="9"/>
      <c r="T905" s="9"/>
    </row>
    <row r="906" spans="18:20">
      <c r="R906" s="9"/>
      <c r="S906" s="9"/>
      <c r="T906" s="9"/>
    </row>
    <row r="907" spans="18:20">
      <c r="R907" s="9"/>
      <c r="S907" s="9"/>
      <c r="T907" s="9"/>
    </row>
    <row r="908" spans="18:20">
      <c r="R908" s="9"/>
      <c r="S908" s="9"/>
      <c r="T908" s="9"/>
    </row>
    <row r="909" spans="18:20">
      <c r="R909" s="9"/>
      <c r="S909" s="9"/>
      <c r="T909" s="9"/>
    </row>
    <row r="910" spans="18:20">
      <c r="R910" s="9"/>
      <c r="S910" s="9"/>
      <c r="T910" s="9"/>
    </row>
    <row r="911" spans="18:20">
      <c r="R911" s="9"/>
      <c r="S911" s="9"/>
      <c r="T911" s="9"/>
    </row>
    <row r="912" spans="18:20">
      <c r="R912" s="9"/>
      <c r="S912" s="9"/>
      <c r="T912" s="9"/>
    </row>
    <row r="913" spans="18:20">
      <c r="R913" s="9"/>
      <c r="S913" s="9"/>
      <c r="T913" s="9"/>
    </row>
    <row r="914" spans="18:20">
      <c r="R914" s="9"/>
      <c r="S914" s="9"/>
      <c r="T914" s="9"/>
    </row>
    <row r="915" spans="18:20">
      <c r="R915" s="9"/>
      <c r="S915" s="9"/>
      <c r="T915" s="9"/>
    </row>
    <row r="916" spans="18:20">
      <c r="R916" s="9"/>
      <c r="S916" s="9"/>
      <c r="T916" s="9"/>
    </row>
    <row r="917" spans="18:20">
      <c r="R917" s="9"/>
      <c r="S917" s="9"/>
      <c r="T917" s="9"/>
    </row>
    <row r="918" spans="18:20">
      <c r="R918" s="9"/>
      <c r="S918" s="9"/>
      <c r="T918" s="9"/>
    </row>
    <row r="919" spans="18:20">
      <c r="R919" s="9"/>
      <c r="S919" s="9"/>
      <c r="T919" s="9"/>
    </row>
    <row r="920" spans="18:20">
      <c r="R920" s="9"/>
      <c r="S920" s="9"/>
      <c r="T920" s="9"/>
    </row>
    <row r="921" spans="18:20">
      <c r="R921" s="9"/>
      <c r="S921" s="9"/>
      <c r="T921" s="9"/>
    </row>
    <row r="922" spans="18:20">
      <c r="R922" s="9"/>
      <c r="S922" s="9"/>
      <c r="T922" s="9"/>
    </row>
    <row r="923" spans="18:20">
      <c r="R923" s="9"/>
      <c r="S923" s="9"/>
      <c r="T923" s="9"/>
    </row>
    <row r="924" spans="18:20">
      <c r="R924" s="9"/>
      <c r="S924" s="9"/>
      <c r="T924" s="9"/>
    </row>
    <row r="925" spans="18:20">
      <c r="R925" s="9"/>
      <c r="S925" s="9"/>
      <c r="T925" s="9"/>
    </row>
    <row r="926" spans="18:20">
      <c r="R926" s="9"/>
      <c r="S926" s="9"/>
      <c r="T926" s="9"/>
    </row>
    <row r="927" spans="18:20">
      <c r="R927" s="9"/>
      <c r="S927" s="9"/>
      <c r="T927" s="9"/>
    </row>
    <row r="928" spans="18:20">
      <c r="R928" s="9"/>
      <c r="S928" s="9"/>
      <c r="T928" s="9"/>
    </row>
    <row r="929" spans="18:20">
      <c r="R929" s="9"/>
      <c r="S929" s="9"/>
      <c r="T929" s="9"/>
    </row>
    <row r="930" spans="18:20">
      <c r="R930" s="9"/>
      <c r="S930" s="9"/>
      <c r="T930" s="9"/>
    </row>
    <row r="931" spans="18:20">
      <c r="R931" s="9"/>
      <c r="S931" s="9"/>
      <c r="T931" s="9"/>
    </row>
    <row r="932" spans="18:20">
      <c r="R932" s="9"/>
      <c r="S932" s="9"/>
      <c r="T932" s="9"/>
    </row>
    <row r="933" spans="18:20">
      <c r="R933" s="9"/>
      <c r="S933" s="9"/>
      <c r="T933" s="9"/>
    </row>
    <row r="934" spans="18:20">
      <c r="R934" s="9"/>
      <c r="S934" s="9"/>
      <c r="T934" s="9"/>
    </row>
    <row r="935" spans="18:20">
      <c r="R935" s="9"/>
      <c r="S935" s="9"/>
      <c r="T935" s="9"/>
    </row>
    <row r="936" spans="18:20">
      <c r="R936" s="9"/>
      <c r="S936" s="9"/>
      <c r="T936" s="9"/>
    </row>
    <row r="937" spans="18:20">
      <c r="R937" s="9"/>
      <c r="S937" s="9"/>
      <c r="T937" s="9"/>
    </row>
    <row r="938" spans="18:20">
      <c r="R938" s="9"/>
      <c r="S938" s="9"/>
      <c r="T938" s="9"/>
    </row>
    <row r="939" spans="18:20">
      <c r="R939" s="9"/>
      <c r="S939" s="9"/>
      <c r="T939" s="9"/>
    </row>
    <row r="940" spans="18:20">
      <c r="R940" s="9"/>
      <c r="S940" s="9"/>
      <c r="T940" s="9"/>
    </row>
    <row r="941" spans="18:20">
      <c r="R941" s="9"/>
      <c r="S941" s="9"/>
      <c r="T941" s="9"/>
    </row>
    <row r="942" spans="18:20">
      <c r="R942" s="9"/>
      <c r="S942" s="9"/>
      <c r="T942" s="9"/>
    </row>
    <row r="943" spans="18:20">
      <c r="R943" s="9"/>
      <c r="S943" s="9"/>
      <c r="T943" s="9"/>
    </row>
    <row r="944" spans="18:20">
      <c r="R944" s="9"/>
      <c r="S944" s="9"/>
      <c r="T944" s="9"/>
    </row>
    <row r="945" spans="18:20">
      <c r="R945" s="9"/>
      <c r="S945" s="9"/>
      <c r="T945" s="9"/>
    </row>
    <row r="946" spans="18:20">
      <c r="R946" s="9"/>
      <c r="S946" s="9"/>
      <c r="T946" s="9"/>
    </row>
    <row r="947" spans="18:20">
      <c r="R947" s="9"/>
      <c r="S947" s="9"/>
      <c r="T947" s="9"/>
    </row>
    <row r="948" spans="18:20">
      <c r="R948" s="9"/>
      <c r="S948" s="9"/>
      <c r="T948" s="9"/>
    </row>
    <row r="949" spans="18:20">
      <c r="R949" s="9"/>
      <c r="S949" s="9"/>
      <c r="T949" s="9"/>
    </row>
    <row r="950" spans="18:20">
      <c r="R950" s="9"/>
      <c r="S950" s="9"/>
      <c r="T950" s="9"/>
    </row>
    <row r="951" spans="18:20">
      <c r="R951" s="9"/>
      <c r="S951" s="9"/>
      <c r="T951" s="9"/>
    </row>
    <row r="952" spans="18:20">
      <c r="R952" s="9"/>
      <c r="S952" s="9"/>
      <c r="T952" s="9"/>
    </row>
    <row r="953" spans="18:20">
      <c r="R953" s="9"/>
      <c r="S953" s="9"/>
      <c r="T953" s="9"/>
    </row>
    <row r="954" spans="18:20">
      <c r="R954" s="9"/>
      <c r="S954" s="9"/>
      <c r="T954" s="9"/>
    </row>
    <row r="955" spans="18:20">
      <c r="R955" s="9"/>
      <c r="S955" s="9"/>
      <c r="T955" s="9"/>
    </row>
    <row r="956" spans="18:20">
      <c r="R956" s="9"/>
      <c r="S956" s="9"/>
      <c r="T956" s="9"/>
    </row>
    <row r="957" spans="18:20">
      <c r="R957" s="9"/>
      <c r="S957" s="9"/>
      <c r="T957" s="9"/>
    </row>
    <row r="958" spans="18:20">
      <c r="R958" s="9"/>
      <c r="S958" s="9"/>
      <c r="T958" s="9"/>
    </row>
    <row r="959" spans="18:20">
      <c r="R959" s="9"/>
      <c r="S959" s="9"/>
      <c r="T959" s="9"/>
    </row>
    <row r="960" spans="18:20">
      <c r="R960" s="9"/>
      <c r="S960" s="9"/>
      <c r="T960" s="9"/>
    </row>
    <row r="961" spans="18:20">
      <c r="R961" s="9"/>
      <c r="S961" s="9"/>
      <c r="T961" s="9"/>
    </row>
    <row r="962" spans="18:20">
      <c r="R962" s="9"/>
      <c r="S962" s="9"/>
      <c r="T962" s="9"/>
    </row>
    <row r="963" spans="18:20">
      <c r="R963" s="9"/>
      <c r="S963" s="9"/>
      <c r="T963" s="9"/>
    </row>
    <row r="964" spans="18:20">
      <c r="R964" s="9"/>
      <c r="S964" s="9"/>
      <c r="T964" s="9"/>
    </row>
    <row r="965" spans="18:20">
      <c r="R965" s="9"/>
      <c r="S965" s="9"/>
      <c r="T965" s="9"/>
    </row>
    <row r="966" spans="18:20">
      <c r="R966" s="9"/>
      <c r="S966" s="9"/>
      <c r="T966" s="9"/>
    </row>
    <row r="967" spans="18:20">
      <c r="R967" s="9"/>
      <c r="S967" s="9"/>
      <c r="T967" s="9"/>
    </row>
    <row r="968" spans="18:20">
      <c r="R968" s="9"/>
      <c r="S968" s="9"/>
      <c r="T968" s="9"/>
    </row>
    <row r="969" spans="18:20">
      <c r="R969" s="9"/>
      <c r="S969" s="9"/>
      <c r="T969" s="9"/>
    </row>
    <row r="970" spans="18:20">
      <c r="R970" s="9"/>
      <c r="S970" s="9"/>
      <c r="T970" s="9"/>
    </row>
    <row r="971" spans="18:20">
      <c r="R971" s="9"/>
      <c r="S971" s="9"/>
      <c r="T971" s="9"/>
    </row>
    <row r="972" spans="18:20">
      <c r="R972" s="9"/>
      <c r="S972" s="9"/>
      <c r="T972" s="9"/>
    </row>
    <row r="973" spans="18:20">
      <c r="R973" s="9"/>
      <c r="S973" s="9"/>
      <c r="T973" s="9"/>
    </row>
    <row r="974" spans="18:20">
      <c r="R974" s="9"/>
      <c r="S974" s="9"/>
      <c r="T974" s="9"/>
    </row>
  </sheetData>
  <mergeCells count="15">
    <mergeCell ref="A1:Q1"/>
    <mergeCell ref="S6:S7"/>
    <mergeCell ref="A30:M30"/>
    <mergeCell ref="A31:P31"/>
    <mergeCell ref="A32:P32"/>
    <mergeCell ref="A6:G6"/>
    <mergeCell ref="H6:J6"/>
    <mergeCell ref="K6:M6"/>
    <mergeCell ref="N6:P6"/>
    <mergeCell ref="Q6:Q7"/>
    <mergeCell ref="R6:R7"/>
    <mergeCell ref="R1:S5"/>
    <mergeCell ref="A4:Q4"/>
    <mergeCell ref="A5:Q5"/>
    <mergeCell ref="A2:Q3"/>
  </mergeCells>
  <conditionalFormatting sqref="B9 D9 C9:C20 C22:C23">
    <cfRule type="expression" dxfId="1" priority="2">
      <formula>#REF!=0</formula>
    </cfRule>
  </conditionalFormatting>
  <conditionalFormatting sqref="C8 C21 C24 C27:C29">
    <cfRule type="expression" dxfId="0" priority="1">
      <formula>$D8=0</formula>
    </cfRule>
  </conditionalFormatting>
  <dataValidations count="1">
    <dataValidation type="whole" allowBlank="1" showInputMessage="1" showErrorMessage="1" sqref="B9:B17" xr:uid="{E1E2F386-B52B-4D8F-9292-AFA64ABBB3BA}">
      <formula1>0</formula1>
      <formula2>9999999999</formula2>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02B2C762A70AA4AACD3C44A2937ED4B" ma:contentTypeVersion="10" ma:contentTypeDescription="Crear nuevo documento." ma:contentTypeScope="" ma:versionID="862c908f3d822f96821d21cfd083324e">
  <xsd:schema xmlns:xsd="http://www.w3.org/2001/XMLSchema" xmlns:xs="http://www.w3.org/2001/XMLSchema" xmlns:p="http://schemas.microsoft.com/office/2006/metadata/properties" xmlns:ns2="567afbf0-0b1a-4275-bec6-95ee07fcaac8" xmlns:ns3="d914fc20-2098-4e62-af6b-43060ae291c9" targetNamespace="http://schemas.microsoft.com/office/2006/metadata/properties" ma:root="true" ma:fieldsID="f7b8417bbed3743c565aa738a52bca08" ns2:_="" ns3:_="">
    <xsd:import namespace="567afbf0-0b1a-4275-bec6-95ee07fcaac8"/>
    <xsd:import namespace="d914fc20-2098-4e62-af6b-43060ae291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afbf0-0b1a-4275-bec6-95ee07fcaa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14fc20-2098-4e62-af6b-43060ae291c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bd6962-59c2-4c88-bc9d-4d5da9b701b8}" ma:internalName="TaxCatchAll" ma:showField="CatchAllData" ma:web="d914fc20-2098-4e62-af6b-43060ae291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7afbf0-0b1a-4275-bec6-95ee07fcaac8">
      <Terms xmlns="http://schemas.microsoft.com/office/infopath/2007/PartnerControls"/>
    </lcf76f155ced4ddcb4097134ff3c332f>
    <TaxCatchAll xmlns="d914fc20-2098-4e62-af6b-43060ae291c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533DDC-2102-420B-BD69-53813FE50DED}"/>
</file>

<file path=customXml/itemProps2.xml><?xml version="1.0" encoding="utf-8"?>
<ds:datastoreItem xmlns:ds="http://schemas.openxmlformats.org/officeDocument/2006/customXml" ds:itemID="{E6A37DAD-47ED-4BF6-BFFD-7D704BC88C1E}"/>
</file>

<file path=customXml/itemProps3.xml><?xml version="1.0" encoding="utf-8"?>
<ds:datastoreItem xmlns:ds="http://schemas.openxmlformats.org/officeDocument/2006/customXml" ds:itemID="{7FDDF1A5-75F9-4A65-ADA4-11335A2297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Valentina Tellez Salamanca</cp:lastModifiedBy>
  <cp:revision/>
  <dcterms:created xsi:type="dcterms:W3CDTF">2025-11-29T17:55:29Z</dcterms:created>
  <dcterms:modified xsi:type="dcterms:W3CDTF">2025-11-29T23:45:57Z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0x010100102B2C762A70AA4AACD3C44A2937ED4B</vt:lpwstr>
  </property>
  <property fmtid="{D5CDD505-2E9C-101B-9397-08002B2CF9AE}" pid="3" name="MediaServiceImageTags">
    <vt:lpwstr/>
  </property>
</Properties>
</file>
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BPX8gdN_T6WspA9Kbxh8QAMHMEzRp07p\00 Pliegos procesos 2025\01 En proceso\263 INSTITUTO NACIONAL DE METROLOGIA\"/>
    </mc:Choice>
  </mc:AlternateContent>
  <xr:revisionPtr revIDLastSave="0" documentId="8_{F2A55795-51CA-4D8C-8FD2-70E6E467B5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K10" i="1" s="1"/>
  <c r="J11" i="1"/>
  <c r="K11" i="1" s="1"/>
  <c r="J12" i="1"/>
  <c r="K12" i="1" s="1"/>
  <c r="J13" i="1"/>
  <c r="K13" i="1"/>
  <c r="J14" i="1"/>
  <c r="K14" i="1" s="1"/>
  <c r="J15" i="1"/>
  <c r="K15" i="1" s="1"/>
  <c r="J16" i="1"/>
  <c r="K16" i="1" s="1"/>
  <c r="J9" i="1"/>
  <c r="K9" i="1" s="1"/>
  <c r="K17" i="1" l="1"/>
</calcChain>
</file>

<file path=xl/sharedStrings.xml><?xml version="1.0" encoding="utf-8"?>
<sst xmlns="http://schemas.openxmlformats.org/spreadsheetml/2006/main" count="33" uniqueCount="23">
  <si>
    <t xml:space="preserve">FORMATO No. 4 </t>
  </si>
  <si>
    <t>PROPUESTA ECONÓMICA MC xxx DE 2025 Objeto: CONTRATAR EL SERVICIO DE MANTENIMIENTO PREVENTIVO PARA LA INFRAESTRUCTURA TECNOLÓGICA DEL INM.</t>
  </si>
  <si>
    <t>ITEM</t>
  </si>
  <si>
    <t>DESCRIPCION</t>
  </si>
  <si>
    <t>UNIDAD</t>
  </si>
  <si>
    <t>CANTIDAD</t>
  </si>
  <si>
    <t>PRECIOS ESTIMADOS</t>
  </si>
  <si>
    <t>PRECIOS OFERTADOS</t>
  </si>
  <si>
    <t>VALOR UNITARIO</t>
  </si>
  <si>
    <t>IVA</t>
  </si>
  <si>
    <t>VALOR TOTAL</t>
  </si>
  <si>
    <t>Mantenimiento preventivo para servidores y almacenamiento</t>
  </si>
  <si>
    <t>UND</t>
  </si>
  <si>
    <t>Mantenimiento preventivo para tape backup</t>
  </si>
  <si>
    <t xml:space="preserve">Mantenimiento preventivo para Switch </t>
  </si>
  <si>
    <t>Mantenimiento preventivo para Unidades de almacenamiento</t>
  </si>
  <si>
    <t xml:space="preserve">Mantenimiento preventivo para estaciones de trabajo </t>
  </si>
  <si>
    <t xml:space="preserve"> Mantenimiento preventivo para Video proyectores </t>
  </si>
  <si>
    <t>Mantenimiento preventivo para Pantalla interactiva</t>
  </si>
  <si>
    <t>Mantenimiento preventivo para Impresoras y escaner</t>
  </si>
  <si>
    <t xml:space="preserve">VALOR TOTAL DE LA OFERTA </t>
  </si>
  <si>
    <r>
      <rPr>
        <b/>
        <sz val="9"/>
        <color theme="1"/>
        <rFont val="Arial"/>
        <family val="2"/>
      </rPr>
      <t xml:space="preserve">Nota: 
1.  </t>
    </r>
    <r>
      <rPr>
        <sz val="9"/>
        <color theme="1"/>
        <rFont val="Arial"/>
        <family val="2"/>
      </rPr>
      <t xml:space="preserve">El precio ofertado para cada ítem no podrá superar el valor de referencia que se indica, el cual fue tomado fielmente del estudio de mercado que adelantó la entidad.
</t>
    </r>
  </si>
  <si>
    <t>Empresa: Grupo CAF Tecnologia S.A.S
Nit. No. 901.238.371-9
Dirección: Cll 25d #34a-05
Teléfono:3503497358
Correo electrónico:admin@caftecnologia.com
Representante legal: Carlos Andres Fontalvo Salas
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</si>
</sst>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Body Font"/>
      <family val="2"/>
    </font>
    <font>
      <sz val="11"/>
      <color theme="1"/>
      <name val="Arial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sz val="12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8" fontId="0" fillId="2" borderId="11" xfId="0" applyNumberFormat="1" applyFill="1" applyBorder="1" applyAlignment="1">
      <alignment vertical="center"/>
    </xf>
    <xf numFmtId="8" fontId="0" fillId="2" borderId="13" xfId="0" applyNumberFormat="1" applyFill="1" applyBorder="1" applyAlignment="1">
      <alignment vertical="center"/>
    </xf>
    <xf numFmtId="4" fontId="0" fillId="2" borderId="0" xfId="0" applyNumberFormat="1" applyFill="1"/>
    <xf numFmtId="0" fontId="1" fillId="2" borderId="18" xfId="0" applyFont="1" applyFill="1" applyBorder="1" applyAlignment="1">
      <alignment horizontal="center" vertical="center" wrapText="1"/>
    </xf>
    <xf numFmtId="44" fontId="0" fillId="2" borderId="19" xfId="0" applyNumberFormat="1" applyFill="1" applyBorder="1" applyAlignment="1">
      <alignment vertical="center"/>
    </xf>
    <xf numFmtId="44" fontId="0" fillId="2" borderId="20" xfId="0" applyNumberFormat="1" applyFill="1" applyBorder="1" applyAlignment="1">
      <alignment vertical="center"/>
    </xf>
    <xf numFmtId="44" fontId="0" fillId="2" borderId="21" xfId="0" applyNumberFormat="1" applyFill="1" applyBorder="1" applyAlignment="1">
      <alignment vertical="center"/>
    </xf>
    <xf numFmtId="8" fontId="0" fillId="2" borderId="22" xfId="0" applyNumberFormat="1" applyFill="1" applyBorder="1" applyAlignment="1">
      <alignment vertical="center"/>
    </xf>
    <xf numFmtId="8" fontId="0" fillId="2" borderId="15" xfId="0" applyNumberFormat="1" applyFill="1" applyBorder="1" applyAlignment="1">
      <alignment vertical="center"/>
    </xf>
    <xf numFmtId="8" fontId="0" fillId="2" borderId="10" xfId="0" applyNumberFormat="1" applyFill="1" applyBorder="1" applyAlignment="1">
      <alignment vertical="center"/>
    </xf>
    <xf numFmtId="8" fontId="0" fillId="2" borderId="23" xfId="0" applyNumberForma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8" fontId="0" fillId="2" borderId="1" xfId="0" applyNumberFormat="1" applyFill="1" applyBorder="1" applyAlignment="1">
      <alignment vertical="center"/>
    </xf>
    <xf numFmtId="8" fontId="0" fillId="2" borderId="26" xfId="0" applyNumberFormat="1" applyFill="1" applyBorder="1" applyAlignment="1">
      <alignment vertical="center"/>
    </xf>
    <xf numFmtId="8" fontId="0" fillId="2" borderId="27" xfId="0" applyNumberFormat="1" applyFill="1" applyBorder="1" applyAlignment="1">
      <alignment vertical="center"/>
    </xf>
    <xf numFmtId="8" fontId="0" fillId="2" borderId="28" xfId="0" applyNumberFormat="1" applyFill="1" applyBorder="1" applyAlignment="1">
      <alignment vertical="center"/>
    </xf>
    <xf numFmtId="8" fontId="0" fillId="2" borderId="9" xfId="0" applyNumberFormat="1" applyFill="1" applyBorder="1" applyAlignment="1">
      <alignment vertical="center"/>
    </xf>
    <xf numFmtId="8" fontId="0" fillId="2" borderId="29" xfId="0" applyNumberFormat="1" applyFill="1" applyBorder="1" applyAlignment="1">
      <alignment vertical="center"/>
    </xf>
    <xf numFmtId="0" fontId="5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44" fontId="0" fillId="3" borderId="25" xfId="0" applyNumberFormat="1" applyFill="1" applyBorder="1" applyAlignment="1">
      <alignment vertical="center"/>
    </xf>
    <xf numFmtId="44" fontId="0" fillId="3" borderId="2" xfId="0" applyNumberFormat="1" applyFill="1" applyBorder="1" applyAlignment="1">
      <alignment vertical="center"/>
    </xf>
    <xf numFmtId="44" fontId="0" fillId="3" borderId="8" xfId="0" applyNumberFormat="1" applyFill="1" applyBorder="1" applyAlignment="1">
      <alignment vertical="center"/>
    </xf>
    <xf numFmtId="8" fontId="1" fillId="2" borderId="17" xfId="0" applyNumberFormat="1" applyFont="1" applyFill="1" applyBorder="1"/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0" fillId="2" borderId="3" xfId="0" applyFont="1" applyFill="1" applyBorder="1" applyAlignment="1">
      <alignment horizontal="left" vertical="top"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horizontal="left" vertical="top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4064000</xdr:colOff>
      <xdr:row>21</xdr:row>
      <xdr:rowOff>83854</xdr:rowOff>
    </xdr:from>
    <xdr:to>
      <xdr:col>4</xdr:col>
      <xdr:colOff>12700</xdr:colOff>
      <xdr:row>21</xdr:row>
      <xdr:rowOff>958215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7E46CF-8FF4-5FAB-AEC3-8592FC3D8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8900" y="5506754"/>
          <a:ext cx="1409700" cy="874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tabSelected="1" zoomScale="60" zoomScaleNormal="60" workbookViewId="0">
      <selection activeCell="F33" sqref="F33"/>
    </sheetView>
  </sheetViews>
  <sheetFormatPr baseColWidth="10" defaultColWidth="10.88671875" defaultRowHeight="15" customHeight="1"/>
  <cols>
    <col min="1" max="1" width="10.88671875" style="2"/>
    <col min="2" max="2" width="5.109375" style="2" bestFit="1" customWidth="1"/>
    <col min="3" max="3" width="67.5546875" style="2" customWidth="1"/>
    <col min="4" max="4" width="12" style="2" customWidth="1"/>
    <col min="5" max="5" width="17.44140625" style="2" customWidth="1"/>
    <col min="6" max="8" width="22" style="2" customWidth="1"/>
    <col min="9" max="9" width="19" style="2" customWidth="1"/>
    <col min="10" max="10" width="18" style="2" bestFit="1" customWidth="1"/>
    <col min="11" max="11" width="23.109375" style="2" customWidth="1"/>
    <col min="12" max="12" width="10.88671875" style="2"/>
    <col min="13" max="13" width="13" style="2" bestFit="1" customWidth="1"/>
    <col min="14" max="16384" width="10.88671875" style="2"/>
  </cols>
  <sheetData>
    <row r="2" spans="2:12" s="42" customFormat="1" ht="16.2"/>
    <row r="3" spans="2:12" s="42" customFormat="1" ht="16.2">
      <c r="B3" s="55" t="s">
        <v>0</v>
      </c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2:12" s="42" customFormat="1" ht="15" customHeight="1">
      <c r="B4" s="56" t="s">
        <v>1</v>
      </c>
      <c r="C4" s="56"/>
      <c r="D4" s="56"/>
      <c r="E4" s="56"/>
      <c r="F4" s="56"/>
      <c r="G4" s="56"/>
      <c r="H4" s="56"/>
      <c r="I4" s="56"/>
      <c r="J4" s="56"/>
      <c r="K4" s="56"/>
      <c r="L4" s="43"/>
    </row>
    <row r="5" spans="2:12" s="42" customFormat="1" ht="24.9" customHeight="1">
      <c r="B5" s="56"/>
      <c r="C5" s="56"/>
      <c r="D5" s="56"/>
      <c r="E5" s="56"/>
      <c r="F5" s="56"/>
      <c r="G5" s="56"/>
      <c r="H5" s="56"/>
      <c r="I5" s="56"/>
      <c r="J5" s="56"/>
      <c r="K5" s="56"/>
      <c r="L5" s="43"/>
    </row>
    <row r="6" spans="2:12" ht="15" customHeight="1" thickBot="1"/>
    <row r="7" spans="2:12" s="1" customFormat="1" thickBot="1">
      <c r="B7" s="60" t="s">
        <v>2</v>
      </c>
      <c r="C7" s="58" t="s">
        <v>3</v>
      </c>
      <c r="D7" s="58" t="s">
        <v>4</v>
      </c>
      <c r="E7" s="58" t="s">
        <v>5</v>
      </c>
      <c r="F7" s="50" t="s">
        <v>6</v>
      </c>
      <c r="G7" s="51"/>
      <c r="H7" s="52"/>
      <c r="I7" s="50" t="s">
        <v>7</v>
      </c>
      <c r="J7" s="51"/>
      <c r="K7" s="52"/>
    </row>
    <row r="8" spans="2:12" s="7" customFormat="1" ht="30" customHeight="1" thickBot="1">
      <c r="B8" s="61"/>
      <c r="C8" s="59"/>
      <c r="D8" s="59"/>
      <c r="E8" s="59"/>
      <c r="F8" s="14" t="s">
        <v>8</v>
      </c>
      <c r="G8" s="6" t="s">
        <v>9</v>
      </c>
      <c r="H8" s="10" t="s">
        <v>10</v>
      </c>
      <c r="I8" s="22" t="s">
        <v>8</v>
      </c>
      <c r="J8" s="6" t="s">
        <v>9</v>
      </c>
      <c r="K8" s="10" t="s">
        <v>10</v>
      </c>
    </row>
    <row r="9" spans="2:12" s="3" customFormat="1" ht="24.6" customHeight="1">
      <c r="B9" s="29">
        <v>1</v>
      </c>
      <c r="C9" s="4" t="s">
        <v>11</v>
      </c>
      <c r="D9" s="8" t="s">
        <v>12</v>
      </c>
      <c r="E9" s="30">
        <v>6</v>
      </c>
      <c r="F9" s="15">
        <v>690000</v>
      </c>
      <c r="G9" s="12">
        <v>131100</v>
      </c>
      <c r="H9" s="19">
        <v>4926600</v>
      </c>
      <c r="I9" s="38">
        <v>510000</v>
      </c>
      <c r="J9" s="24">
        <f>I9*19%</f>
        <v>96900</v>
      </c>
      <c r="K9" s="25">
        <f>(I9+J9)*E9</f>
        <v>3641400</v>
      </c>
    </row>
    <row r="10" spans="2:12" s="3" customFormat="1" ht="24.6" customHeight="1">
      <c r="B10" s="31">
        <v>2</v>
      </c>
      <c r="C10" s="5" t="s">
        <v>13</v>
      </c>
      <c r="D10" s="9" t="s">
        <v>12</v>
      </c>
      <c r="E10" s="32">
        <v>1</v>
      </c>
      <c r="F10" s="16">
        <v>730200</v>
      </c>
      <c r="G10" s="11">
        <v>138738</v>
      </c>
      <c r="H10" s="20">
        <v>868938</v>
      </c>
      <c r="I10" s="39">
        <v>540000</v>
      </c>
      <c r="J10" s="23">
        <f t="shared" ref="J10:J16" si="0">I10*19%</f>
        <v>102600</v>
      </c>
      <c r="K10" s="26">
        <f t="shared" ref="K10:K16" si="1">(I10+J10)*E10</f>
        <v>642600</v>
      </c>
    </row>
    <row r="11" spans="2:12" s="3" customFormat="1" ht="24.6" customHeight="1">
      <c r="B11" s="33">
        <v>3</v>
      </c>
      <c r="C11" s="5" t="s">
        <v>14</v>
      </c>
      <c r="D11" s="9" t="s">
        <v>12</v>
      </c>
      <c r="E11" s="32">
        <v>10</v>
      </c>
      <c r="F11" s="16">
        <v>200000</v>
      </c>
      <c r="G11" s="11">
        <v>38000</v>
      </c>
      <c r="H11" s="20">
        <v>2380000</v>
      </c>
      <c r="I11" s="39">
        <v>160000</v>
      </c>
      <c r="J11" s="23">
        <f t="shared" si="0"/>
        <v>30400</v>
      </c>
      <c r="K11" s="26">
        <f t="shared" si="1"/>
        <v>1904000</v>
      </c>
    </row>
    <row r="12" spans="2:12" s="3" customFormat="1" ht="22.2" customHeight="1">
      <c r="B12" s="31">
        <v>4</v>
      </c>
      <c r="C12" s="5" t="s">
        <v>15</v>
      </c>
      <c r="D12" s="9" t="s">
        <v>12</v>
      </c>
      <c r="E12" s="32">
        <v>1</v>
      </c>
      <c r="F12" s="16">
        <v>900000</v>
      </c>
      <c r="G12" s="11">
        <v>171000</v>
      </c>
      <c r="H12" s="20">
        <v>1071000</v>
      </c>
      <c r="I12" s="39">
        <v>760000</v>
      </c>
      <c r="J12" s="23">
        <f t="shared" si="0"/>
        <v>144400</v>
      </c>
      <c r="K12" s="26">
        <f t="shared" si="1"/>
        <v>904400</v>
      </c>
    </row>
    <row r="13" spans="2:12" s="3" customFormat="1" ht="24.6" customHeight="1">
      <c r="B13" s="33">
        <v>5</v>
      </c>
      <c r="C13" s="5" t="s">
        <v>16</v>
      </c>
      <c r="D13" s="9" t="s">
        <v>12</v>
      </c>
      <c r="E13" s="32">
        <v>195</v>
      </c>
      <c r="F13" s="16">
        <v>63000</v>
      </c>
      <c r="G13" s="11">
        <v>11970</v>
      </c>
      <c r="H13" s="20">
        <v>14619150</v>
      </c>
      <c r="I13" s="39">
        <v>50000</v>
      </c>
      <c r="J13" s="23">
        <f t="shared" si="0"/>
        <v>9500</v>
      </c>
      <c r="K13" s="26">
        <f t="shared" si="1"/>
        <v>11602500</v>
      </c>
    </row>
    <row r="14" spans="2:12" s="3" customFormat="1" ht="24.6" customHeight="1">
      <c r="B14" s="31">
        <v>6</v>
      </c>
      <c r="C14" s="5" t="s">
        <v>17</v>
      </c>
      <c r="D14" s="9" t="s">
        <v>12</v>
      </c>
      <c r="E14" s="32">
        <v>7</v>
      </c>
      <c r="F14" s="16">
        <v>1210000</v>
      </c>
      <c r="G14" s="11">
        <v>229900</v>
      </c>
      <c r="H14" s="20">
        <v>10079300</v>
      </c>
      <c r="I14" s="39">
        <v>1000000</v>
      </c>
      <c r="J14" s="23">
        <f t="shared" si="0"/>
        <v>190000</v>
      </c>
      <c r="K14" s="26">
        <f t="shared" si="1"/>
        <v>8330000</v>
      </c>
    </row>
    <row r="15" spans="2:12" s="3" customFormat="1" ht="24.6" customHeight="1">
      <c r="B15" s="33">
        <v>7</v>
      </c>
      <c r="C15" s="5" t="s">
        <v>18</v>
      </c>
      <c r="D15" s="9" t="s">
        <v>12</v>
      </c>
      <c r="E15" s="32">
        <v>2</v>
      </c>
      <c r="F15" s="16">
        <v>129000</v>
      </c>
      <c r="G15" s="11">
        <v>24510</v>
      </c>
      <c r="H15" s="20">
        <v>307020</v>
      </c>
      <c r="I15" s="39">
        <v>100000</v>
      </c>
      <c r="J15" s="23">
        <f t="shared" si="0"/>
        <v>19000</v>
      </c>
      <c r="K15" s="26">
        <f t="shared" si="1"/>
        <v>238000</v>
      </c>
    </row>
    <row r="16" spans="2:12" s="3" customFormat="1" ht="24.6" customHeight="1" thickBot="1">
      <c r="B16" s="34">
        <v>8</v>
      </c>
      <c r="C16" s="35" t="s">
        <v>19</v>
      </c>
      <c r="D16" s="36" t="s">
        <v>12</v>
      </c>
      <c r="E16" s="37">
        <v>17</v>
      </c>
      <c r="F16" s="17">
        <v>83000</v>
      </c>
      <c r="G16" s="18">
        <v>15770</v>
      </c>
      <c r="H16" s="21">
        <v>1679090</v>
      </c>
      <c r="I16" s="40">
        <v>75000</v>
      </c>
      <c r="J16" s="27">
        <f t="shared" si="0"/>
        <v>14250</v>
      </c>
      <c r="K16" s="28">
        <f t="shared" si="1"/>
        <v>1517250</v>
      </c>
    </row>
    <row r="17" spans="2:11" ht="15" customHeight="1" thickBot="1">
      <c r="B17" s="53" t="s">
        <v>20</v>
      </c>
      <c r="C17" s="54"/>
      <c r="D17" s="54"/>
      <c r="E17" s="54"/>
      <c r="F17" s="54"/>
      <c r="G17" s="54"/>
      <c r="H17" s="54"/>
      <c r="I17" s="54"/>
      <c r="J17" s="54"/>
      <c r="K17" s="41">
        <f>SUM(K9:K16)</f>
        <v>28780150</v>
      </c>
    </row>
    <row r="19" spans="2:11" ht="15" customHeight="1">
      <c r="H19" s="13"/>
    </row>
    <row r="20" spans="2:11" s="44" customFormat="1" ht="26.1" customHeight="1">
      <c r="B20" s="57" t="s">
        <v>21</v>
      </c>
      <c r="C20" s="57"/>
      <c r="D20" s="57"/>
      <c r="E20" s="57"/>
      <c r="F20" s="57"/>
      <c r="G20" s="57"/>
      <c r="H20" s="57"/>
      <c r="I20" s="57"/>
      <c r="J20" s="57"/>
      <c r="K20" s="57"/>
    </row>
    <row r="21" spans="2:11" s="44" customFormat="1" ht="12" thickBot="1">
      <c r="E21" s="45"/>
      <c r="F21" s="45"/>
    </row>
    <row r="22" spans="2:11" s="44" customFormat="1" ht="84.6" customHeight="1" thickBot="1">
      <c r="B22" s="47" t="s">
        <v>22</v>
      </c>
      <c r="C22" s="48"/>
      <c r="D22" s="48"/>
      <c r="E22" s="48"/>
      <c r="F22" s="48"/>
      <c r="G22" s="48"/>
      <c r="H22" s="48"/>
      <c r="I22" s="48"/>
      <c r="J22" s="48"/>
      <c r="K22" s="49"/>
    </row>
    <row r="23" spans="2:11" s="44" customFormat="1" ht="11.4">
      <c r="E23" s="45"/>
      <c r="F23" s="45"/>
    </row>
    <row r="24" spans="2:11" s="46" customFormat="1" ht="14.4"/>
  </sheetData>
  <mergeCells count="11">
    <mergeCell ref="B22:K22"/>
    <mergeCell ref="I7:K7"/>
    <mergeCell ref="B17:J17"/>
    <mergeCell ref="B3:L3"/>
    <mergeCell ref="B4:K5"/>
    <mergeCell ref="B20:K20"/>
    <mergeCell ref="F7:H7"/>
    <mergeCell ref="E7:E8"/>
    <mergeCell ref="D7:D8"/>
    <mergeCell ref="C7:C8"/>
    <mergeCell ref="B7:B8"/>
  </mergeCells>
  <pageMargins left="0.7" right="0.7" top="0.75" bottom="0.75" header="0.3" footer="0.3"/>
  <pageSetup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Jesualdo Andres Moya Martinez</dc:creator>
  <cp:keywords/>
  <dc:description/>
  <cp:lastModifiedBy>CESAR FONTALVO</cp:lastModifiedBy>
  <cp:revision/>
  <dcterms:created xsi:type="dcterms:W3CDTF">2025-03-19T16:28:02Z</dcterms:created>
  <dcterms:modified xsi:type="dcterms:W3CDTF">2025-09-25T18:01:34Z</dcterms:modified>
  <cp:category/>
  <cp:contentStatus/>
</cp:coreProperties>
</file>